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Library/CloudStorage/Dropbox/Imperial/Tree_of_Life/Open_Tree/python/mee-clean/dated-complete-tree/figures/figure6/"/>
    </mc:Choice>
  </mc:AlternateContent>
  <xr:revisionPtr revIDLastSave="0" documentId="13_ncr:1_{01522C71-C62E-4F4D-80C1-97A0D79AA01D}" xr6:coauthVersionLast="47" xr6:coauthVersionMax="47" xr10:uidLastSave="{00000000-0000-0000-0000-000000000000}"/>
  <bookViews>
    <workbookView xWindow="9680" yWindow="-25680" windowWidth="40500" windowHeight="25680" xr2:uid="{31855813-DB23-764C-BE5C-15EF69A483C9}"/>
  </bookViews>
  <sheets>
    <sheet name="results (excel)" sheetId="6" r:id="rId1"/>
    <sheet name="results (for csv)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I13" i="6"/>
  <c r="H13" i="6"/>
  <c r="C13" i="6"/>
  <c r="I12" i="6"/>
  <c r="H12" i="6"/>
  <c r="C12" i="6"/>
  <c r="I11" i="6"/>
  <c r="H11" i="6"/>
  <c r="C11" i="6"/>
  <c r="I10" i="6"/>
  <c r="H10" i="6"/>
  <c r="G10" i="6"/>
  <c r="C10" i="6"/>
  <c r="I9" i="6"/>
  <c r="H9" i="6"/>
  <c r="G9" i="6"/>
  <c r="C9" i="6"/>
  <c r="I8" i="6"/>
  <c r="H8" i="6"/>
  <c r="G8" i="6"/>
  <c r="C8" i="6"/>
  <c r="I7" i="6"/>
  <c r="H7" i="6"/>
  <c r="G7" i="6"/>
  <c r="C7" i="6"/>
  <c r="I6" i="6"/>
  <c r="H6" i="6"/>
  <c r="G6" i="6"/>
  <c r="C6" i="6"/>
  <c r="I5" i="6"/>
  <c r="H5" i="6"/>
  <c r="G5" i="6"/>
  <c r="C5" i="6"/>
  <c r="I4" i="6"/>
  <c r="H4" i="6"/>
  <c r="G4" i="6"/>
  <c r="C4" i="6"/>
  <c r="I3" i="6"/>
  <c r="L3" i="6" s="1"/>
  <c r="L4" i="6" s="1"/>
  <c r="L5" i="6" s="1"/>
  <c r="L6" i="6" s="1"/>
  <c r="L7" i="6" s="1"/>
  <c r="H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G3" i="6"/>
  <c r="J3" i="6" s="1"/>
  <c r="J4" i="6" s="1"/>
  <c r="J5" i="6" s="1"/>
  <c r="J6" i="6" s="1"/>
  <c r="J7" i="6" s="1"/>
  <c r="J8" i="6" s="1"/>
  <c r="J9" i="6" s="1"/>
  <c r="J10" i="6" s="1"/>
  <c r="J11" i="6" s="1"/>
  <c r="C3" i="6"/>
  <c r="L8" i="6" l="1"/>
  <c r="L9" i="6" s="1"/>
  <c r="L10" i="6" s="1"/>
  <c r="L11" i="6" s="1"/>
  <c r="L12" i="6" s="1"/>
  <c r="L13" i="6" s="1"/>
  <c r="J12" i="6"/>
  <c r="D11" i="6"/>
  <c r="G11" i="6" s="1"/>
  <c r="D12" i="6" l="1"/>
  <c r="G12" i="6" s="1"/>
  <c r="J13" i="6"/>
  <c r="D13" i="6" s="1"/>
  <c r="G13" i="6" s="1"/>
</calcChain>
</file>

<file path=xl/sharedStrings.xml><?xml version="1.0" encoding="utf-8"?>
<sst xmlns="http://schemas.openxmlformats.org/spreadsheetml/2006/main" count="26" uniqueCount="19">
  <si>
    <t>Columbiformes_ott363030</t>
  </si>
  <si>
    <t>nodes</t>
  </si>
  <si>
    <t>root</t>
  </si>
  <si>
    <t>bladj</t>
  </si>
  <si>
    <t>me</t>
  </si>
  <si>
    <t>Teleostei_ott212201</t>
  </si>
  <si>
    <t>Gastropoda_ott409995</t>
  </si>
  <si>
    <t>Magnoliopsida_ott99252</t>
  </si>
  <si>
    <t>Metazoa_ott691846</t>
  </si>
  <si>
    <t>cellular_organisms_ott93302</t>
  </si>
  <si>
    <t>Jungermanniales_ott56621</t>
  </si>
  <si>
    <t>seconds</t>
  </si>
  <si>
    <t>minutes</t>
  </si>
  <si>
    <t>me new</t>
  </si>
  <si>
    <t>Muridae_ott816256</t>
  </si>
  <si>
    <t>mrcaott1822ott688506</t>
  </si>
  <si>
    <t>Squamata_ott35888</t>
  </si>
  <si>
    <t>Stramenopiles_ott266745</t>
  </si>
  <si>
    <t>trend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</si>
</sst>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0.00000"/>
    <numFmt numFmtId="167" formatCode="0.000000"/>
    <numFmt numFmtId="168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A6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1782273003302"/>
          <c:y val="2.4874947825095962E-2"/>
          <c:w val="0.80662668164852547"/>
          <c:h val="0.86317949543030759"/>
        </c:manualLayout>
      </c:layout>
      <c:scatterChart>
        <c:scatterStyle val="lineMarker"/>
        <c:varyColors val="0"/>
        <c:ser>
          <c:idx val="0"/>
          <c:order val="0"/>
          <c:tx>
            <c:v>BLADJ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(excel)'!$B$3:$B$10</c:f>
              <c:numCache>
                <c:formatCode>0</c:formatCode>
                <c:ptCount val="8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</c:numCache>
            </c:numRef>
          </c:xVal>
          <c:yVal>
            <c:numRef>
              <c:f>'results (excel)'!$G$3:$G$10</c:f>
              <c:numCache>
                <c:formatCode>0.000000</c:formatCode>
                <c:ptCount val="8"/>
                <c:pt idx="0">
                  <c:v>2.5000000000000001E-4</c:v>
                </c:pt>
                <c:pt idx="1">
                  <c:v>1.7333333333333333E-3</c:v>
                </c:pt>
                <c:pt idx="2">
                  <c:v>2.5866666666666666E-2</c:v>
                </c:pt>
                <c:pt idx="3">
                  <c:v>6.8400000000000002E-2</c:v>
                </c:pt>
                <c:pt idx="4">
                  <c:v>0.29291666666666666</c:v>
                </c:pt>
                <c:pt idx="5">
                  <c:v>3.2537499999999997</c:v>
                </c:pt>
                <c:pt idx="6">
                  <c:v>5.4089833333333335</c:v>
                </c:pt>
                <c:pt idx="7">
                  <c:v>25.759999999999998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9-1045-9DCE-EEF6E1795AB1}"/>
            </c:ext>
          </c:extLst>
        </c:ser>
        <c:ser>
          <c:idx val="2"/>
          <c:order val="1"/>
          <c:tx>
            <c:v>Inferred BLADJ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xVal>
            <c:numRef>
              <c:f>'results (excel)'!$B$11:$B$13</c:f>
              <c:numCache>
                <c:formatCode>0</c:formatCode>
                <c:ptCount val="3"/>
                <c:pt idx="0">
                  <c:v>746891</c:v>
                </c:pt>
                <c:pt idx="1">
                  <c:v>2950313</c:v>
                </c:pt>
                <c:pt idx="2">
                  <c:v>4589559</c:v>
                </c:pt>
              </c:numCache>
            </c:numRef>
          </c:xVal>
          <c:yVal>
            <c:numRef>
              <c:f>'results (excel)'!$G$11:$G$13</c:f>
              <c:numCache>
                <c:formatCode>0.000000</c:formatCode>
                <c:ptCount val="3"/>
                <c:pt idx="0">
                  <c:v>534.99019584730161</c:v>
                </c:pt>
                <c:pt idx="1">
                  <c:v>8347.7139092888301</c:v>
                </c:pt>
                <c:pt idx="2">
                  <c:v>20201.019375601154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9-1045-9DCE-EEF6E1795AB1}"/>
            </c:ext>
          </c:extLst>
        </c:ser>
        <c:ser>
          <c:idx val="3"/>
          <c:order val="2"/>
          <c:tx>
            <c:v>Quadratic growth trend</c:v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'results (excel)'!$B$3:$B$13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'results (excel)'!$J$3:$J$13</c:f>
              <c:numCache>
                <c:formatCode>General</c:formatCode>
                <c:ptCount val="11"/>
                <c:pt idx="0" formatCode="0.000000">
                  <c:v>4.5000000000000004E-4</c:v>
                </c:pt>
                <c:pt idx="1">
                  <c:v>3.863012520645746E-3</c:v>
                </c:pt>
                <c:pt idx="2">
                  <c:v>2.1939773136554961E-2</c:v>
                </c:pt>
                <c:pt idx="3">
                  <c:v>7.8876961905269341E-2</c:v>
                </c:pt>
                <c:pt idx="4">
                  <c:v>0.48296513708775118</c:v>
                </c:pt>
                <c:pt idx="5">
                  <c:v>1.5479008604613995</c:v>
                </c:pt>
                <c:pt idx="6">
                  <c:v>5.3559061483296944</c:v>
                </c:pt>
                <c:pt idx="7">
                  <c:v>18.863337320155583</c:v>
                </c:pt>
                <c:pt idx="8">
                  <c:v>534.99019584730161</c:v>
                </c:pt>
                <c:pt idx="9">
                  <c:v>8347.7139092888301</c:v>
                </c:pt>
                <c:pt idx="10">
                  <c:v>20201.019375601154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9-1045-9DCE-EEF6E1795AB1}"/>
            </c:ext>
          </c:extLst>
        </c:ser>
        <c:ser>
          <c:idx val="1"/>
          <c:order val="3"/>
          <c:tx>
            <c:v>Our implementation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alpha val="2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 (excel)'!$B$3:$B$13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'results (excel)'!$H$3:$H$13</c:f>
              <c:numCache>
                <c:formatCode>0.000000</c:formatCode>
                <c:ptCount val="11"/>
                <c:pt idx="0">
                  <c:v>7.9999999999999993E-5</c:v>
                </c:pt>
                <c:pt idx="1">
                  <c:v>2.2000000000000001E-4</c:v>
                </c:pt>
                <c:pt idx="2">
                  <c:v>5.5000000000000003E-4</c:v>
                </c:pt>
                <c:pt idx="3">
                  <c:v>8.516666666666667E-4</c:v>
                </c:pt>
                <c:pt idx="4">
                  <c:v>2E-3</c:v>
                </c:pt>
                <c:pt idx="5">
                  <c:v>3.8500000000000001E-3</c:v>
                </c:pt>
                <c:pt idx="6">
                  <c:v>7.2166666666666664E-3</c:v>
                </c:pt>
                <c:pt idx="7">
                  <c:v>1.3383333333333334E-2</c:v>
                </c:pt>
                <c:pt idx="8">
                  <c:v>7.4666666666666673E-2</c:v>
                </c:pt>
                <c:pt idx="9">
                  <c:v>0.28500000000000003</c:v>
                </c:pt>
                <c:pt idx="10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89-1045-9DCE-EEF6E1795AB1}"/>
            </c:ext>
          </c:extLst>
        </c:ser>
        <c:ser>
          <c:idx val="4"/>
          <c:order val="4"/>
          <c:tx>
            <c:v>Linear growth trend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'results (excel)'!$B$3:$B$13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'results (excel)'!$K$3:$K$13</c:f>
              <c:numCache>
                <c:formatCode>General</c:formatCode>
                <c:ptCount val="11"/>
                <c:pt idx="0" formatCode="0.000000">
                  <c:v>6.7999999999999986E-5</c:v>
                </c:pt>
                <c:pt idx="1">
                  <c:v>1.9923503649635029E-4</c:v>
                </c:pt>
                <c:pt idx="2">
                  <c:v>4.7480875912408744E-4</c:v>
                </c:pt>
                <c:pt idx="3">
                  <c:v>9.0028029197080273E-4</c:v>
                </c:pt>
                <c:pt idx="4">
                  <c:v>2.2277197080291964E-3</c:v>
                </c:pt>
                <c:pt idx="5">
                  <c:v>3.9881751824817511E-3</c:v>
                </c:pt>
                <c:pt idx="6">
                  <c:v>7.418551824817517E-3</c:v>
                </c:pt>
                <c:pt idx="7">
                  <c:v>1.3922329927007296E-2</c:v>
                </c:pt>
                <c:pt idx="8">
                  <c:v>7.4143924087591226E-2</c:v>
                </c:pt>
                <c:pt idx="9">
                  <c:v>0.29287778686131377</c:v>
                </c:pt>
                <c:pt idx="10">
                  <c:v>0.45560585693430639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89-1045-9DCE-EEF6E1795AB1}"/>
            </c:ext>
          </c:extLst>
        </c:ser>
        <c:ser>
          <c:idx val="5"/>
          <c:order val="5"/>
          <c:tx>
            <c:v>With parsimonious date cleaning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'results (excel)'!$B$3:$B$13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'results (excel)'!$I$3:$I$13</c:f>
              <c:numCache>
                <c:formatCode>0.000000</c:formatCode>
                <c:ptCount val="11"/>
                <c:pt idx="0">
                  <c:v>1.0666666666666667E-4</c:v>
                </c:pt>
                <c:pt idx="1">
                  <c:v>4.3333333333333331E-4</c:v>
                </c:pt>
                <c:pt idx="2">
                  <c:v>5.5000000000000003E-4</c:v>
                </c:pt>
                <c:pt idx="3">
                  <c:v>9.8166666666666671E-4</c:v>
                </c:pt>
                <c:pt idx="4">
                  <c:v>3.7333333333333333E-3</c:v>
                </c:pt>
                <c:pt idx="5">
                  <c:v>4.0000000000000001E-3</c:v>
                </c:pt>
                <c:pt idx="6">
                  <c:v>1.6066666666666667E-2</c:v>
                </c:pt>
                <c:pt idx="7">
                  <c:v>1.3866666666666666E-2</c:v>
                </c:pt>
                <c:pt idx="8">
                  <c:v>0.14899999999999999</c:v>
                </c:pt>
                <c:pt idx="9">
                  <c:v>0.40500000000000003</c:v>
                </c:pt>
                <c:pt idx="10">
                  <c:v>0.84666666666666657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89-1045-9DCE-EEF6E1795AB1}"/>
            </c:ext>
          </c:extLst>
        </c:ser>
        <c:ser>
          <c:idx val="6"/>
          <c:order val="6"/>
          <c:spPr>
            <a:ln w="127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'results (excel)'!$B$3:$B$13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'results (excel)'!$L$3:$L$13</c:f>
              <c:numCache>
                <c:formatCode>General</c:formatCode>
                <c:ptCount val="11"/>
                <c:pt idx="0" formatCode="0.000000">
                  <c:v>1.0666666666666667E-4</c:v>
                </c:pt>
                <c:pt idx="1">
                  <c:v>3.1252554744525549E-4</c:v>
                </c:pt>
                <c:pt idx="2">
                  <c:v>7.4479805352798052E-4</c:v>
                </c:pt>
                <c:pt idx="3">
                  <c:v>1.4122043795620437E-3</c:v>
                </c:pt>
                <c:pt idx="4">
                  <c:v>3.4944622871046225E-3</c:v>
                </c:pt>
                <c:pt idx="5">
                  <c:v>6.2559610705596102E-3</c:v>
                </c:pt>
                <c:pt idx="6">
                  <c:v>1.1636944038929439E-2</c:v>
                </c:pt>
                <c:pt idx="7">
                  <c:v>2.1838948905109488E-2</c:v>
                </c:pt>
                <c:pt idx="8">
                  <c:v>0.11630419464720193</c:v>
                </c:pt>
                <c:pt idx="9">
                  <c:v>0.45941613625304129</c:v>
                </c:pt>
                <c:pt idx="10">
                  <c:v>0.71467585401459843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89-1045-9DCE-EEF6E179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48992"/>
        <c:axId val="408750720"/>
      </c:scatterChart>
      <c:valAx>
        <c:axId val="408748992"/>
        <c:scaling>
          <c:logBase val="10"/>
          <c:orientation val="minMax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Number of nodes</a:t>
                </a:r>
                <a:r>
                  <a:rPr lang="en-GB" sz="1050" baseline="0"/>
                  <a:t> (</a:t>
                </a:r>
                <a:r>
                  <a:rPr lang="en-GB" sz="1050"/>
                  <a:t>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0720"/>
        <c:crossesAt val="1.0000000000000001E-5"/>
        <c:crossBetween val="midCat"/>
      </c:valAx>
      <c:valAx>
        <c:axId val="408750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Run time (minutes,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100]#,###;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706442156328573"/>
          <c:y val="6.4926574076720325E-2"/>
          <c:w val="0.30341880281011069"/>
          <c:h val="0.27446961409825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1387763</xdr:colOff>
      <xdr:row>15</xdr:row>
      <xdr:rowOff>52531</xdr:rowOff>
    </xdr:from>
    <xdr:to>
      <xdr:col>8</xdr:col>
      <xdr:colOff>430645</xdr:colOff>
      <xdr:row>43</xdr:row>
      <xdr:rowOff>90631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F5AF7-7D30-F546-9563-BF0053B92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D871-593C-594F-9945-A3C34234BC13}">
  <dimension ref="A1:R41"/>
  <sheetViews>
    <sheetView tabSelected="1" zoomScale="110" zoomScaleNormal="110" workbookViewId="0">
      <selection activeCell="K1" sqref="K1"/>
    </sheetView>
  </sheetViews>
  <sheetFormatPr baseColWidth="10" defaultRowHeight="16" x14ac:dyDescent="0.2"/>
  <cols>
    <col min="1" max="1" width="24.83203125" bestFit="1" customWidth="1"/>
    <col min="2" max="2" width="11.6640625" bestFit="1" customWidth="1"/>
    <col min="7" max="7" width="13.6640625" customWidth="1"/>
    <col min="11" max="11" width="12.1640625" bestFit="1" customWidth="1"/>
    <col min="12" max="12" width="12.1640625" customWidth="1"/>
    <col min="18" max="18" width="10.6640625" customWidth="1"/>
  </cols>
  <sheetData>
    <row r="1" spans="1:18" x14ac:dyDescent="0.2">
      <c r="D1" t="s">
        <v>11</v>
      </c>
      <c r="G1" s="6" t="s">
        <v>12</v>
      </c>
      <c r="H1" s="6"/>
      <c r="I1" s="6"/>
      <c r="J1" t="s">
        <v>18</v>
      </c>
    </row>
    <row r="2" spans="1:18" x14ac:dyDescent="0.2">
      <c r="A2" t="s">
        <v>2</v>
      </c>
      <c r="B2" t="s">
        <v>1</v>
      </c>
      <c r="D2" t="s">
        <v>3</v>
      </c>
      <c r="E2" t="s">
        <v>4</v>
      </c>
      <c r="F2" t="s">
        <v>13</v>
      </c>
      <c r="G2" s="6" t="s">
        <v>3</v>
      </c>
      <c r="H2" s="6" t="s">
        <v>4</v>
      </c>
      <c r="I2" s="6" t="s">
        <v>13</v>
      </c>
    </row>
    <row r="3" spans="1:18" x14ac:dyDescent="0.2">
      <c r="A3" t="s">
        <v>0</v>
      </c>
      <c r="B3" s="2">
        <v>685</v>
      </c>
      <c r="C3" s="2">
        <f>B3</f>
        <v>685</v>
      </c>
      <c r="D3">
        <v>1.4999999999999999E-2</v>
      </c>
      <c r="E3">
        <v>4.7999999999999996E-3</v>
      </c>
      <c r="F3" s="8">
        <v>6.4000000000000003E-3</v>
      </c>
      <c r="G3" s="7">
        <f>D3/60</f>
        <v>2.5000000000000001E-4</v>
      </c>
      <c r="H3" s="7">
        <f>E3/60</f>
        <v>7.9999999999999993E-5</v>
      </c>
      <c r="I3" s="7">
        <f>F3/60</f>
        <v>1.0666666666666667E-4</v>
      </c>
      <c r="J3" s="5">
        <f>G3*1.8</f>
        <v>4.5000000000000004E-4</v>
      </c>
      <c r="K3" s="5">
        <f>H3*0.85</f>
        <v>6.7999999999999986E-5</v>
      </c>
      <c r="L3" s="5">
        <f>I3</f>
        <v>1.0666666666666667E-4</v>
      </c>
    </row>
    <row r="4" spans="1:18" x14ac:dyDescent="0.2">
      <c r="A4" t="s">
        <v>14</v>
      </c>
      <c r="B4" s="2">
        <v>2007</v>
      </c>
      <c r="C4" s="2">
        <f t="shared" ref="C4:C13" si="0">B4</f>
        <v>2007</v>
      </c>
      <c r="D4">
        <v>0.104</v>
      </c>
      <c r="E4" s="8">
        <v>1.32E-2</v>
      </c>
      <c r="F4" s="8">
        <v>2.5999999999999999E-2</v>
      </c>
      <c r="G4" s="7">
        <f t="shared" ref="G4:I13" si="1">D4/60</f>
        <v>1.7333333333333333E-3</v>
      </c>
      <c r="H4" s="7">
        <f t="shared" si="1"/>
        <v>2.2000000000000001E-4</v>
      </c>
      <c r="I4" s="7">
        <f t="shared" si="1"/>
        <v>4.3333333333333331E-4</v>
      </c>
      <c r="J4">
        <f>J3*B4^2/B3^2</f>
        <v>3.863012520645746E-3</v>
      </c>
      <c r="K4">
        <f>K3*B4/B3</f>
        <v>1.9923503649635029E-4</v>
      </c>
      <c r="L4">
        <f>L3*C4/C3</f>
        <v>3.1252554744525549E-4</v>
      </c>
      <c r="M4" s="1"/>
      <c r="N4" s="1"/>
      <c r="O4" s="1"/>
      <c r="P4" s="1"/>
      <c r="R4" s="2"/>
    </row>
    <row r="5" spans="1:18" x14ac:dyDescent="0.2">
      <c r="A5" t="s">
        <v>15</v>
      </c>
      <c r="B5" s="2">
        <v>4783</v>
      </c>
      <c r="C5" s="2">
        <f t="shared" si="0"/>
        <v>4783</v>
      </c>
      <c r="D5">
        <v>1.552</v>
      </c>
      <c r="E5" s="8">
        <v>3.3000000000000002E-2</v>
      </c>
      <c r="F5" s="8">
        <v>3.3000000000000002E-2</v>
      </c>
      <c r="G5" s="7">
        <f t="shared" si="1"/>
        <v>2.5866666666666666E-2</v>
      </c>
      <c r="H5" s="7">
        <f t="shared" si="1"/>
        <v>5.5000000000000003E-4</v>
      </c>
      <c r="I5" s="7">
        <f t="shared" si="1"/>
        <v>5.5000000000000003E-4</v>
      </c>
      <c r="J5">
        <f t="shared" ref="J5:J13" si="2">J4*B5^2/B4^2</f>
        <v>2.1939773136554961E-2</v>
      </c>
      <c r="K5">
        <f t="shared" ref="K5:L13" si="3">K4*B5/B4</f>
        <v>4.7480875912408744E-4</v>
      </c>
      <c r="L5">
        <f t="shared" si="3"/>
        <v>7.4479805352798052E-4</v>
      </c>
      <c r="M5" s="1"/>
      <c r="N5" s="1"/>
      <c r="O5" s="1"/>
      <c r="P5" s="1"/>
      <c r="R5" s="2"/>
    </row>
    <row r="6" spans="1:18" x14ac:dyDescent="0.2">
      <c r="A6" t="s">
        <v>10</v>
      </c>
      <c r="B6" s="2">
        <v>9069</v>
      </c>
      <c r="C6" s="2">
        <f t="shared" si="0"/>
        <v>9069</v>
      </c>
      <c r="D6">
        <v>4.1040000000000001</v>
      </c>
      <c r="E6" s="8">
        <v>5.11E-2</v>
      </c>
      <c r="F6" s="8">
        <v>5.8900000000000001E-2</v>
      </c>
      <c r="G6" s="7">
        <f t="shared" si="1"/>
        <v>6.8400000000000002E-2</v>
      </c>
      <c r="H6" s="7">
        <f t="shared" si="1"/>
        <v>8.516666666666667E-4</v>
      </c>
      <c r="I6" s="7">
        <f t="shared" si="1"/>
        <v>9.8166666666666671E-4</v>
      </c>
      <c r="J6">
        <f t="shared" si="2"/>
        <v>7.8876961905269341E-2</v>
      </c>
      <c r="K6">
        <f t="shared" si="3"/>
        <v>9.0028029197080273E-4</v>
      </c>
      <c r="L6">
        <f t="shared" si="3"/>
        <v>1.4122043795620437E-3</v>
      </c>
      <c r="M6" s="1"/>
      <c r="N6" s="1"/>
      <c r="O6" s="1"/>
      <c r="P6" s="1"/>
      <c r="R6" s="2"/>
    </row>
    <row r="7" spans="1:18" x14ac:dyDescent="0.2">
      <c r="A7" t="s">
        <v>16</v>
      </c>
      <c r="B7" s="2">
        <v>22441</v>
      </c>
      <c r="C7" s="2">
        <f t="shared" si="0"/>
        <v>22441</v>
      </c>
      <c r="D7">
        <v>17.574999999999999</v>
      </c>
      <c r="E7" s="8">
        <v>0.12</v>
      </c>
      <c r="F7" s="8">
        <v>0.224</v>
      </c>
      <c r="G7" s="7">
        <f t="shared" si="1"/>
        <v>0.29291666666666666</v>
      </c>
      <c r="H7" s="7">
        <f t="shared" si="1"/>
        <v>2E-3</v>
      </c>
      <c r="I7" s="7">
        <f t="shared" si="1"/>
        <v>3.7333333333333333E-3</v>
      </c>
      <c r="J7">
        <f t="shared" si="2"/>
        <v>0.48296513708775118</v>
      </c>
      <c r="K7">
        <f t="shared" si="3"/>
        <v>2.2277197080291964E-3</v>
      </c>
      <c r="L7">
        <f t="shared" si="3"/>
        <v>3.4944622871046225E-3</v>
      </c>
      <c r="M7" s="1"/>
      <c r="N7" s="1"/>
      <c r="O7" s="1"/>
      <c r="P7" s="1"/>
      <c r="R7" s="2"/>
    </row>
    <row r="8" spans="1:18" x14ac:dyDescent="0.2">
      <c r="A8" t="s">
        <v>17</v>
      </c>
      <c r="B8" s="2">
        <v>40175</v>
      </c>
      <c r="C8" s="2">
        <f t="shared" si="0"/>
        <v>40175</v>
      </c>
      <c r="D8">
        <v>195.22499999999999</v>
      </c>
      <c r="E8" s="8">
        <v>0.23100000000000001</v>
      </c>
      <c r="F8" s="8">
        <v>0.24</v>
      </c>
      <c r="G8" s="7">
        <f t="shared" si="1"/>
        <v>3.2537499999999997</v>
      </c>
      <c r="H8" s="7">
        <f t="shared" si="1"/>
        <v>3.8500000000000001E-3</v>
      </c>
      <c r="I8" s="7">
        <f t="shared" si="1"/>
        <v>4.0000000000000001E-3</v>
      </c>
      <c r="J8">
        <f t="shared" si="2"/>
        <v>1.5479008604613995</v>
      </c>
      <c r="K8">
        <f t="shared" si="3"/>
        <v>3.9881751824817511E-3</v>
      </c>
      <c r="L8">
        <f t="shared" si="3"/>
        <v>6.2559610705596102E-3</v>
      </c>
      <c r="M8" s="1"/>
      <c r="N8" s="1"/>
      <c r="O8" s="1"/>
      <c r="P8" s="1"/>
      <c r="R8" s="2"/>
    </row>
    <row r="9" spans="1:18" x14ac:dyDescent="0.2">
      <c r="A9" t="s">
        <v>5</v>
      </c>
      <c r="B9" s="2">
        <v>74731</v>
      </c>
      <c r="C9" s="2">
        <f t="shared" si="0"/>
        <v>74731</v>
      </c>
      <c r="D9">
        <v>324.53899999999999</v>
      </c>
      <c r="E9" s="8">
        <v>0.433</v>
      </c>
      <c r="F9" s="8">
        <v>0.96399999999999997</v>
      </c>
      <c r="G9" s="7">
        <f t="shared" si="1"/>
        <v>5.4089833333333335</v>
      </c>
      <c r="H9" s="7">
        <f t="shared" si="1"/>
        <v>7.2166666666666664E-3</v>
      </c>
      <c r="I9" s="7">
        <f t="shared" si="1"/>
        <v>1.6066666666666667E-2</v>
      </c>
      <c r="J9">
        <f t="shared" si="2"/>
        <v>5.3559061483296944</v>
      </c>
      <c r="K9">
        <f t="shared" si="3"/>
        <v>7.418551824817517E-3</v>
      </c>
      <c r="L9">
        <f t="shared" si="3"/>
        <v>1.1636944038929439E-2</v>
      </c>
      <c r="M9" s="1"/>
      <c r="N9" s="1"/>
      <c r="O9" s="1"/>
      <c r="P9" s="1"/>
      <c r="R9" s="2"/>
    </row>
    <row r="10" spans="1:18" x14ac:dyDescent="0.2">
      <c r="A10" t="s">
        <v>6</v>
      </c>
      <c r="B10" s="2">
        <v>140247</v>
      </c>
      <c r="C10" s="2">
        <f t="shared" si="0"/>
        <v>140247</v>
      </c>
      <c r="D10">
        <v>1545.6</v>
      </c>
      <c r="E10" s="8">
        <v>0.80300000000000005</v>
      </c>
      <c r="F10" s="8">
        <v>0.83199999999999996</v>
      </c>
      <c r="G10" s="7">
        <f t="shared" si="1"/>
        <v>25.759999999999998</v>
      </c>
      <c r="H10" s="7">
        <f t="shared" si="1"/>
        <v>1.3383333333333334E-2</v>
      </c>
      <c r="I10" s="7">
        <f t="shared" si="1"/>
        <v>1.3866666666666666E-2</v>
      </c>
      <c r="J10">
        <f t="shared" si="2"/>
        <v>18.863337320155583</v>
      </c>
      <c r="K10">
        <f t="shared" si="3"/>
        <v>1.3922329927007296E-2</v>
      </c>
      <c r="L10">
        <f t="shared" si="3"/>
        <v>2.1838948905109488E-2</v>
      </c>
      <c r="M10" s="1"/>
      <c r="N10" s="1"/>
      <c r="O10" s="1"/>
      <c r="P10" s="1"/>
      <c r="R10" s="2"/>
    </row>
    <row r="11" spans="1:18" x14ac:dyDescent="0.2">
      <c r="A11" t="s">
        <v>7</v>
      </c>
      <c r="B11" s="2">
        <v>746891</v>
      </c>
      <c r="C11" s="2">
        <f t="shared" si="0"/>
        <v>746891</v>
      </c>
      <c r="D11">
        <f>J11*60</f>
        <v>32099.411750838095</v>
      </c>
      <c r="E11" s="8">
        <v>4.4800000000000004</v>
      </c>
      <c r="F11" s="8">
        <v>8.94</v>
      </c>
      <c r="G11" s="7">
        <f t="shared" si="1"/>
        <v>534.99019584730161</v>
      </c>
      <c r="H11" s="7">
        <f t="shared" si="1"/>
        <v>7.4666666666666673E-2</v>
      </c>
      <c r="I11" s="7">
        <f t="shared" si="1"/>
        <v>0.14899999999999999</v>
      </c>
      <c r="J11">
        <f t="shared" si="2"/>
        <v>534.99019584730161</v>
      </c>
      <c r="K11">
        <f t="shared" si="3"/>
        <v>7.4143924087591226E-2</v>
      </c>
      <c r="L11">
        <f t="shared" si="3"/>
        <v>0.11630419464720193</v>
      </c>
      <c r="M11" s="1"/>
      <c r="O11" s="1"/>
      <c r="P11" s="1"/>
    </row>
    <row r="12" spans="1:18" x14ac:dyDescent="0.2">
      <c r="A12" t="s">
        <v>8</v>
      </c>
      <c r="B12" s="2">
        <v>2950313</v>
      </c>
      <c r="C12" s="2">
        <f t="shared" si="0"/>
        <v>2950313</v>
      </c>
      <c r="D12">
        <f t="shared" ref="D12:D13" si="4">J12*60</f>
        <v>500862.83455732983</v>
      </c>
      <c r="E12" s="8">
        <v>17.100000000000001</v>
      </c>
      <c r="F12" s="8">
        <v>24.3</v>
      </c>
      <c r="G12" s="7">
        <f t="shared" si="1"/>
        <v>8347.7139092888301</v>
      </c>
      <c r="H12" s="7">
        <f t="shared" si="1"/>
        <v>0.28500000000000003</v>
      </c>
      <c r="I12" s="7">
        <f t="shared" si="1"/>
        <v>0.40500000000000003</v>
      </c>
      <c r="J12">
        <f t="shared" si="2"/>
        <v>8347.7139092888301</v>
      </c>
      <c r="K12">
        <f t="shared" si="3"/>
        <v>0.29287778686131377</v>
      </c>
      <c r="L12">
        <f t="shared" si="3"/>
        <v>0.45941613625304129</v>
      </c>
      <c r="M12" s="1"/>
      <c r="O12" s="1"/>
      <c r="P12" s="1"/>
    </row>
    <row r="13" spans="1:18" x14ac:dyDescent="0.2">
      <c r="A13" t="s">
        <v>9</v>
      </c>
      <c r="B13" s="2">
        <v>4589559</v>
      </c>
      <c r="C13" s="2">
        <f t="shared" si="0"/>
        <v>4589559</v>
      </c>
      <c r="D13">
        <f t="shared" si="4"/>
        <v>1212061.1625360693</v>
      </c>
      <c r="E13" s="8">
        <v>26.4</v>
      </c>
      <c r="F13" s="8">
        <v>50.8</v>
      </c>
      <c r="G13" s="7">
        <f t="shared" si="1"/>
        <v>20201.019375601154</v>
      </c>
      <c r="H13" s="7">
        <f t="shared" si="1"/>
        <v>0.44</v>
      </c>
      <c r="I13" s="7">
        <f t="shared" si="1"/>
        <v>0.84666666666666657</v>
      </c>
      <c r="J13">
        <f t="shared" si="2"/>
        <v>20201.019375601154</v>
      </c>
      <c r="K13">
        <f t="shared" si="3"/>
        <v>0.45560585693430639</v>
      </c>
      <c r="L13">
        <f t="shared" si="3"/>
        <v>0.71467585401459843</v>
      </c>
      <c r="M13" s="1"/>
      <c r="O13" s="1"/>
      <c r="P13" s="1"/>
    </row>
    <row r="21" spans="6:6" x14ac:dyDescent="0.2">
      <c r="F21" s="4"/>
    </row>
    <row r="22" spans="6:6" x14ac:dyDescent="0.2">
      <c r="F22" s="4"/>
    </row>
    <row r="23" spans="6:6" x14ac:dyDescent="0.2">
      <c r="F23" s="4"/>
    </row>
    <row r="24" spans="6:6" x14ac:dyDescent="0.2">
      <c r="F24" s="4"/>
    </row>
    <row r="25" spans="6:6" x14ac:dyDescent="0.2">
      <c r="F25" s="4"/>
    </row>
    <row r="26" spans="6:6" x14ac:dyDescent="0.2">
      <c r="F26" s="4"/>
    </row>
    <row r="27" spans="6:6" x14ac:dyDescent="0.2">
      <c r="F27" s="4"/>
    </row>
    <row r="28" spans="6:6" x14ac:dyDescent="0.2">
      <c r="F28" s="4"/>
    </row>
    <row r="29" spans="6:6" x14ac:dyDescent="0.2">
      <c r="F29" s="4"/>
    </row>
    <row r="30" spans="6:6" x14ac:dyDescent="0.2">
      <c r="F30" s="4"/>
    </row>
    <row r="41" spans="1:1" x14ac:dyDescent="0.2">
      <c r="A41" s="3"/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223F-8B03-D94E-ACEF-6113471589B9}">
  <dimension ref="A1:D12"/>
  <sheetViews>
    <sheetView workbookViewId="0">
      <selection activeCell="N14" sqref="N14"/>
    </sheetView>
  </sheetViews>
  <sheetFormatPr baseColWidth="10" defaultRowHeight="16" x14ac:dyDescent="0.2"/>
  <sheetData>
    <row r="1" spans="1:4" x14ac:dyDescent="0.2">
      <c r="A1" t="s">
        <v>1</v>
      </c>
      <c r="B1" s="6" t="s">
        <v>3</v>
      </c>
      <c r="C1" s="6" t="s">
        <v>4</v>
      </c>
      <c r="D1" s="6" t="s">
        <v>13</v>
      </c>
    </row>
    <row r="2" spans="1:4" x14ac:dyDescent="0.2">
      <c r="A2" s="2">
        <v>685</v>
      </c>
      <c r="B2" s="7">
        <v>2.5000000000000001E-4</v>
      </c>
      <c r="C2" s="7">
        <v>7.9999999999999993E-5</v>
      </c>
      <c r="D2" s="7">
        <v>1.0666666666666667E-4</v>
      </c>
    </row>
    <row r="3" spans="1:4" x14ac:dyDescent="0.2">
      <c r="A3" s="2">
        <v>2007</v>
      </c>
      <c r="B3" s="7">
        <v>1.7333333333333333E-3</v>
      </c>
      <c r="C3" s="7">
        <v>2.2000000000000001E-4</v>
      </c>
      <c r="D3" s="7">
        <v>4.3333333333333331E-4</v>
      </c>
    </row>
    <row r="4" spans="1:4" x14ac:dyDescent="0.2">
      <c r="A4" s="2">
        <v>4783</v>
      </c>
      <c r="B4" s="7">
        <v>2.5866666666666666E-2</v>
      </c>
      <c r="C4" s="7">
        <v>5.5000000000000003E-4</v>
      </c>
      <c r="D4" s="7">
        <v>5.5000000000000003E-4</v>
      </c>
    </row>
    <row r="5" spans="1:4" x14ac:dyDescent="0.2">
      <c r="A5" s="2">
        <v>9069</v>
      </c>
      <c r="B5" s="7">
        <v>6.8400000000000002E-2</v>
      </c>
      <c r="C5" s="7">
        <v>8.516666666666667E-4</v>
      </c>
      <c r="D5" s="7">
        <v>9.8166666666666671E-4</v>
      </c>
    </row>
    <row r="6" spans="1:4" x14ac:dyDescent="0.2">
      <c r="A6" s="2">
        <v>22441</v>
      </c>
      <c r="B6" s="6">
        <v>0.29291666666666666</v>
      </c>
      <c r="C6" s="7">
        <v>2E-3</v>
      </c>
      <c r="D6" s="7">
        <v>3.7333333333333333E-3</v>
      </c>
    </row>
    <row r="7" spans="1:4" x14ac:dyDescent="0.2">
      <c r="A7" s="2">
        <v>40175</v>
      </c>
      <c r="B7" s="6">
        <v>3.2537499999999997</v>
      </c>
      <c r="C7" s="7">
        <v>3.8500000000000001E-3</v>
      </c>
      <c r="D7" s="7">
        <v>4.0000000000000001E-3</v>
      </c>
    </row>
    <row r="8" spans="1:4" x14ac:dyDescent="0.2">
      <c r="A8" s="2">
        <v>74731</v>
      </c>
      <c r="B8" s="6">
        <v>5.4089833333333335</v>
      </c>
      <c r="C8" s="7">
        <v>7.2166666666666664E-3</v>
      </c>
      <c r="D8" s="7">
        <v>1.6066666666666667E-2</v>
      </c>
    </row>
    <row r="9" spans="1:4" x14ac:dyDescent="0.2">
      <c r="A9" s="2">
        <v>140247</v>
      </c>
      <c r="B9" s="6">
        <v>25.759999999999998</v>
      </c>
      <c r="C9" s="7">
        <v>1.3383333333333334E-2</v>
      </c>
      <c r="D9" s="7">
        <v>1.3866666666666666E-2</v>
      </c>
    </row>
    <row r="10" spans="1:4" x14ac:dyDescent="0.2">
      <c r="A10" s="2">
        <v>746891</v>
      </c>
      <c r="B10" s="6">
        <v>534.99019584730161</v>
      </c>
      <c r="C10" s="7">
        <v>7.4666666666666673E-2</v>
      </c>
      <c r="D10" s="7">
        <v>0.14899999999999999</v>
      </c>
    </row>
    <row r="11" spans="1:4" x14ac:dyDescent="0.2">
      <c r="A11" s="2">
        <v>2950313</v>
      </c>
      <c r="B11" s="6">
        <v>8347.7139092888301</v>
      </c>
      <c r="C11" s="7">
        <v>0.28500000000000003</v>
      </c>
      <c r="D11" s="7">
        <v>0.40500000000000003</v>
      </c>
    </row>
    <row r="12" spans="1:4" x14ac:dyDescent="0.2">
      <c r="A12" s="2">
        <v>4589559</v>
      </c>
      <c r="B12" s="6">
        <v>20201.019375601154</v>
      </c>
      <c r="C12" s="7">
        <v>0.44</v>
      </c>
      <c r="D12" s="7">
        <v>0.84666666666666657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(excel)</vt:lpstr>
      <vt:lpstr>results (for csv)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Duke, Jonathan</dc:creator>
  <cp:lastModifiedBy>Duke, Jonathan</cp:lastModifiedBy>
  <cp:lastPrinted>2025-05-14T15:43:00Z</cp:lastPrinted>
  <dcterms:created xsi:type="dcterms:W3CDTF">2025-04-15T16:50:02Z</dcterms:created>
  <dcterms:modified xsi:type="dcterms:W3CDTF">2026-07-14T09:14:15Z</dcterms:modified>
</cp:coreProperties>
</file>