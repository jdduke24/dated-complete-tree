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/Library/CloudStorage/Dropbox/Imperial/Tree_of_Life/Open_Tree/python/dated-complete-tree/figures/figure1/"/>
    </mc:Choice>
  </mc:AlternateContent>
  <xr:revisionPtr revIDLastSave="0" documentId="8_{9FA27055-886B-8D42-9EE2-DD6EE8114CB5}" xr6:coauthVersionLast="47" xr6:coauthVersionMax="47" xr10:uidLastSave="{00000000-0000-0000-0000-000000000000}"/>
  <bookViews>
    <workbookView xWindow="9680" yWindow="-25680" windowWidth="40500" windowHeight="25680" activeTab="5" xr2:uid="{31855813-DB23-764C-BE5C-15EF69A483C9}"/>
  </bookViews>
  <sheets>
    <sheet name="Sheet1" sheetId="1" r:id="rId1"/>
    <sheet name="Sheet2" sheetId="2" r:id="rId2"/>
    <sheet name="Sheet2 (2)" sheetId="3" r:id="rId3"/>
    <sheet name="Sheet3" sheetId="4" r:id="rId4"/>
    <sheet name="ete4" sheetId="5" r:id="rId5"/>
    <sheet name="ete4 (2)" sheetId="6" r:id="rId6"/>
    <sheet name="bladj vs m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6" l="1"/>
  <c r="E52" i="6"/>
  <c r="E51" i="6"/>
  <c r="E50" i="6"/>
  <c r="E46" i="6"/>
  <c r="C44" i="6"/>
  <c r="G41" i="6"/>
  <c r="H41" i="6" s="1"/>
  <c r="J41" i="6" s="1"/>
  <c r="M38" i="6"/>
  <c r="H38" i="6"/>
  <c r="M37" i="6"/>
  <c r="H37" i="6"/>
  <c r="M36" i="6"/>
  <c r="H36" i="6"/>
  <c r="M35" i="6"/>
  <c r="H35" i="6"/>
  <c r="M34" i="6"/>
  <c r="H34" i="6"/>
  <c r="M33" i="6"/>
  <c r="H33" i="6"/>
  <c r="M32" i="6"/>
  <c r="H32" i="6"/>
  <c r="M31" i="6"/>
  <c r="H31" i="6"/>
  <c r="M30" i="6"/>
  <c r="H30" i="6"/>
  <c r="M29" i="6"/>
  <c r="H29" i="6"/>
  <c r="M28" i="6"/>
  <c r="H28" i="6"/>
  <c r="O13" i="6"/>
  <c r="M13" i="6"/>
  <c r="I13" i="6"/>
  <c r="H13" i="6"/>
  <c r="P13" i="6" s="1"/>
  <c r="C13" i="6"/>
  <c r="O12" i="6"/>
  <c r="M12" i="6"/>
  <c r="I12" i="6"/>
  <c r="H12" i="6"/>
  <c r="P12" i="6" s="1"/>
  <c r="C12" i="6"/>
  <c r="R11" i="6"/>
  <c r="P11" i="6"/>
  <c r="O11" i="6"/>
  <c r="M11" i="6"/>
  <c r="I11" i="6"/>
  <c r="H11" i="6"/>
  <c r="C11" i="6"/>
  <c r="R10" i="6"/>
  <c r="S10" i="6" s="1"/>
  <c r="T10" i="6" s="1"/>
  <c r="P10" i="6"/>
  <c r="O10" i="6"/>
  <c r="M10" i="6"/>
  <c r="I10" i="6"/>
  <c r="H10" i="6"/>
  <c r="G10" i="6"/>
  <c r="N10" i="6" s="1"/>
  <c r="C10" i="6"/>
  <c r="O9" i="6"/>
  <c r="M9" i="6"/>
  <c r="I9" i="6"/>
  <c r="H9" i="6"/>
  <c r="G9" i="6"/>
  <c r="C9" i="6"/>
  <c r="O8" i="6"/>
  <c r="M8" i="6"/>
  <c r="I8" i="6"/>
  <c r="H8" i="6"/>
  <c r="P9" i="6" s="1"/>
  <c r="G8" i="6"/>
  <c r="N9" i="6" s="1"/>
  <c r="C8" i="6"/>
  <c r="O7" i="6"/>
  <c r="M7" i="6"/>
  <c r="R7" i="6" s="1"/>
  <c r="I7" i="6"/>
  <c r="H7" i="6"/>
  <c r="G7" i="6"/>
  <c r="N7" i="6" s="1"/>
  <c r="C7" i="6"/>
  <c r="I6" i="6"/>
  <c r="H6" i="6"/>
  <c r="G6" i="6"/>
  <c r="C6" i="6"/>
  <c r="I5" i="6"/>
  <c r="H5" i="6"/>
  <c r="G5" i="6"/>
  <c r="C5" i="6"/>
  <c r="O4" i="6"/>
  <c r="N4" i="6"/>
  <c r="M4" i="6"/>
  <c r="R4" i="6" s="1"/>
  <c r="I4" i="6"/>
  <c r="H4" i="6"/>
  <c r="P4" i="6" s="1"/>
  <c r="G4" i="6"/>
  <c r="C4" i="6"/>
  <c r="I3" i="6"/>
  <c r="L3" i="6" s="1"/>
  <c r="L4" i="6" s="1"/>
  <c r="L5" i="6" s="1"/>
  <c r="L6" i="6" s="1"/>
  <c r="L7" i="6" s="1"/>
  <c r="H3" i="6"/>
  <c r="K4" i="6" s="1"/>
  <c r="K5" i="6" s="1"/>
  <c r="K6" i="6" s="1"/>
  <c r="K7" i="6" s="1"/>
  <c r="K8" i="6" s="1"/>
  <c r="K9" i="6" s="1"/>
  <c r="K10" i="6" s="1"/>
  <c r="K11" i="6" s="1"/>
  <c r="K12" i="6" s="1"/>
  <c r="K13" i="6" s="1"/>
  <c r="G3" i="6"/>
  <c r="J3" i="6" s="1"/>
  <c r="J4" i="6" s="1"/>
  <c r="J5" i="6" s="1"/>
  <c r="J6" i="6" s="1"/>
  <c r="J7" i="6" s="1"/>
  <c r="J8" i="6" s="1"/>
  <c r="J9" i="6" s="1"/>
  <c r="J10" i="6" s="1"/>
  <c r="J11" i="6" s="1"/>
  <c r="C3" i="6"/>
  <c r="J3" i="5"/>
  <c r="J4" i="5"/>
  <c r="J5" i="5" s="1"/>
  <c r="J6" i="5" s="1"/>
  <c r="J7" i="5" s="1"/>
  <c r="J8" i="5" s="1"/>
  <c r="J9" i="5" s="1"/>
  <c r="J10" i="5" s="1"/>
  <c r="J11" i="5" s="1"/>
  <c r="J12" i="5" s="1"/>
  <c r="J13" i="5" s="1"/>
  <c r="D13" i="5" s="1"/>
  <c r="G13" i="5" s="1"/>
  <c r="G4" i="5"/>
  <c r="G5" i="5"/>
  <c r="G6" i="5"/>
  <c r="G7" i="5"/>
  <c r="G8" i="5"/>
  <c r="G9" i="5"/>
  <c r="G10" i="5"/>
  <c r="G3" i="5"/>
  <c r="N7" i="5"/>
  <c r="N8" i="5"/>
  <c r="E52" i="5"/>
  <c r="E51" i="5"/>
  <c r="E50" i="5"/>
  <c r="E46" i="5"/>
  <c r="C44" i="5"/>
  <c r="H41" i="5"/>
  <c r="J41" i="5" s="1"/>
  <c r="G41" i="5"/>
  <c r="M38" i="5"/>
  <c r="H38" i="5"/>
  <c r="M37" i="5"/>
  <c r="H37" i="5"/>
  <c r="M36" i="5"/>
  <c r="H36" i="5"/>
  <c r="M35" i="5"/>
  <c r="H35" i="5"/>
  <c r="M34" i="5"/>
  <c r="H34" i="5"/>
  <c r="M33" i="5"/>
  <c r="H33" i="5"/>
  <c r="M32" i="5"/>
  <c r="H32" i="5"/>
  <c r="M31" i="5"/>
  <c r="H31" i="5"/>
  <c r="M30" i="5"/>
  <c r="H30" i="5"/>
  <c r="M29" i="5"/>
  <c r="H29" i="5"/>
  <c r="M28" i="5"/>
  <c r="H28" i="5"/>
  <c r="O13" i="5"/>
  <c r="M13" i="5"/>
  <c r="I13" i="5"/>
  <c r="H13" i="5"/>
  <c r="C13" i="5"/>
  <c r="O12" i="5"/>
  <c r="M12" i="5"/>
  <c r="I12" i="5"/>
  <c r="H12" i="5"/>
  <c r="P12" i="5" s="1"/>
  <c r="C12" i="5"/>
  <c r="O11" i="5"/>
  <c r="M11" i="5"/>
  <c r="I11" i="5"/>
  <c r="H11" i="5"/>
  <c r="C11" i="5"/>
  <c r="O10" i="5"/>
  <c r="M10" i="5"/>
  <c r="I10" i="5"/>
  <c r="H10" i="5"/>
  <c r="P11" i="5" s="1"/>
  <c r="C10" i="5"/>
  <c r="R9" i="5"/>
  <c r="O9" i="5"/>
  <c r="N9" i="5"/>
  <c r="M9" i="5"/>
  <c r="I9" i="5"/>
  <c r="H9" i="5"/>
  <c r="C9" i="5"/>
  <c r="O8" i="5"/>
  <c r="M8" i="5"/>
  <c r="I8" i="5"/>
  <c r="H8" i="5"/>
  <c r="C8" i="5"/>
  <c r="R7" i="5"/>
  <c r="O7" i="5"/>
  <c r="M7" i="5"/>
  <c r="I7" i="5"/>
  <c r="H7" i="5"/>
  <c r="C7" i="5"/>
  <c r="I6" i="5"/>
  <c r="H6" i="5"/>
  <c r="C6" i="5"/>
  <c r="I5" i="5"/>
  <c r="H5" i="5"/>
  <c r="C5" i="5"/>
  <c r="O4" i="5"/>
  <c r="M4" i="5"/>
  <c r="I4" i="5"/>
  <c r="H4" i="5"/>
  <c r="C4" i="5"/>
  <c r="I3" i="5"/>
  <c r="L3" i="5" s="1"/>
  <c r="H3" i="5"/>
  <c r="K3" i="5" s="1"/>
  <c r="C3" i="5"/>
  <c r="E51" i="3"/>
  <c r="E52" i="3"/>
  <c r="E50" i="3"/>
  <c r="E46" i="3"/>
  <c r="C44" i="3"/>
  <c r="C4" i="3"/>
  <c r="C5" i="3"/>
  <c r="C6" i="3"/>
  <c r="C7" i="3"/>
  <c r="C8" i="3"/>
  <c r="C9" i="3"/>
  <c r="C10" i="3"/>
  <c r="C11" i="3"/>
  <c r="C12" i="3"/>
  <c r="C13" i="3"/>
  <c r="C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I13" i="3"/>
  <c r="H13" i="3"/>
  <c r="P13" i="3" s="1"/>
  <c r="I12" i="3"/>
  <c r="H12" i="3"/>
  <c r="I11" i="3"/>
  <c r="H11" i="3"/>
  <c r="P12" i="3" s="1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H3" i="3"/>
  <c r="K3" i="3" s="1"/>
  <c r="I3" i="3"/>
  <c r="L3" i="3" s="1"/>
  <c r="L4" i="3" s="1"/>
  <c r="G41" i="3"/>
  <c r="H41" i="3" s="1"/>
  <c r="J41" i="3" s="1"/>
  <c r="M38" i="3"/>
  <c r="H38" i="3"/>
  <c r="M37" i="3"/>
  <c r="H37" i="3"/>
  <c r="M36" i="3"/>
  <c r="H36" i="3"/>
  <c r="M35" i="3"/>
  <c r="H35" i="3"/>
  <c r="M34" i="3"/>
  <c r="H34" i="3"/>
  <c r="M33" i="3"/>
  <c r="H33" i="3"/>
  <c r="M32" i="3"/>
  <c r="H32" i="3"/>
  <c r="M31" i="3"/>
  <c r="H31" i="3"/>
  <c r="M30" i="3"/>
  <c r="H30" i="3"/>
  <c r="M29" i="3"/>
  <c r="H29" i="3"/>
  <c r="M28" i="3"/>
  <c r="H28" i="3"/>
  <c r="O13" i="3"/>
  <c r="M13" i="3"/>
  <c r="R13" i="3" s="1"/>
  <c r="O12" i="3"/>
  <c r="M12" i="3"/>
  <c r="R12" i="3" s="1"/>
  <c r="O11" i="3"/>
  <c r="M11" i="3"/>
  <c r="R11" i="3" s="1"/>
  <c r="O10" i="3"/>
  <c r="N10" i="3"/>
  <c r="M10" i="3"/>
  <c r="R10" i="3" s="1"/>
  <c r="S10" i="3" s="1"/>
  <c r="T10" i="3" s="1"/>
  <c r="O9" i="3"/>
  <c r="N9" i="3"/>
  <c r="M9" i="3"/>
  <c r="R9" i="3" s="1"/>
  <c r="O8" i="3"/>
  <c r="N8" i="3"/>
  <c r="M8" i="3"/>
  <c r="R8" i="3" s="1"/>
  <c r="O7" i="3"/>
  <c r="N7" i="3"/>
  <c r="M7" i="3"/>
  <c r="R7" i="3" s="1"/>
  <c r="O4" i="3"/>
  <c r="N4" i="3"/>
  <c r="M4" i="3"/>
  <c r="R4" i="3" s="1"/>
  <c r="E40" i="2"/>
  <c r="D40" i="2"/>
  <c r="C40" i="2"/>
  <c r="E2" i="2"/>
  <c r="E3" i="2" s="1"/>
  <c r="E4" i="2" s="1"/>
  <c r="E5" i="2" s="1"/>
  <c r="E6" i="2" s="1"/>
  <c r="E7" i="2" s="1"/>
  <c r="E8" i="2" s="1"/>
  <c r="E9" i="2" s="1"/>
  <c r="E10" i="2" s="1"/>
  <c r="E11" i="2" s="1"/>
  <c r="E12" i="2" s="1"/>
  <c r="F3" i="2"/>
  <c r="F4" i="2" s="1"/>
  <c r="F5" i="2" s="1"/>
  <c r="F6" i="2" s="1"/>
  <c r="F7" i="2" s="1"/>
  <c r="F8" i="2" s="1"/>
  <c r="F9" i="2" s="1"/>
  <c r="F10" i="2" s="1"/>
  <c r="F11" i="2" s="1"/>
  <c r="F12" i="2" s="1"/>
  <c r="G27" i="2"/>
  <c r="G28" i="2"/>
  <c r="G29" i="2"/>
  <c r="G30" i="2"/>
  <c r="G31" i="2"/>
  <c r="G32" i="2"/>
  <c r="G33" i="2"/>
  <c r="G34" i="2"/>
  <c r="G35" i="2"/>
  <c r="G36" i="2"/>
  <c r="G37" i="2"/>
  <c r="D28" i="2"/>
  <c r="D29" i="2"/>
  <c r="D30" i="2"/>
  <c r="D31" i="2"/>
  <c r="D32" i="2"/>
  <c r="D33" i="2"/>
  <c r="D34" i="2"/>
  <c r="D35" i="2"/>
  <c r="D36" i="2"/>
  <c r="D37" i="2"/>
  <c r="D27" i="2"/>
  <c r="L10" i="2"/>
  <c r="L12" i="2"/>
  <c r="J10" i="2"/>
  <c r="J11" i="2"/>
  <c r="J12" i="2"/>
  <c r="H9" i="2"/>
  <c r="J9" i="2"/>
  <c r="I9" i="2"/>
  <c r="I10" i="2"/>
  <c r="I11" i="2"/>
  <c r="I12" i="2"/>
  <c r="G9" i="2"/>
  <c r="L9" i="2" s="1"/>
  <c r="M9" i="2" s="1"/>
  <c r="N9" i="2" s="1"/>
  <c r="G10" i="2"/>
  <c r="G11" i="2"/>
  <c r="L11" i="2" s="1"/>
  <c r="G12" i="2"/>
  <c r="I7" i="2"/>
  <c r="J7" i="2"/>
  <c r="G7" i="2"/>
  <c r="L7" i="2" s="1"/>
  <c r="H7" i="2"/>
  <c r="I8" i="2"/>
  <c r="J8" i="2"/>
  <c r="G8" i="2"/>
  <c r="L8" i="2" s="1"/>
  <c r="H8" i="2"/>
  <c r="G6" i="2"/>
  <c r="L6" i="2" s="1"/>
  <c r="G3" i="2"/>
  <c r="L3" i="2" s="1"/>
  <c r="H6" i="2"/>
  <c r="H3" i="2"/>
  <c r="J6" i="2"/>
  <c r="J3" i="2"/>
  <c r="I6" i="2"/>
  <c r="I3" i="2"/>
  <c r="E6" i="1"/>
  <c r="E7" i="1"/>
  <c r="E8" i="1"/>
  <c r="E9" i="1"/>
  <c r="E5" i="1"/>
  <c r="D6" i="1"/>
  <c r="D7" i="1"/>
  <c r="D8" i="1"/>
  <c r="D9" i="1"/>
  <c r="D5" i="1"/>
  <c r="P8" i="6" l="1"/>
  <c r="R9" i="6"/>
  <c r="N8" i="6"/>
  <c r="R8" i="6"/>
  <c r="L8" i="6"/>
  <c r="L9" i="6" s="1"/>
  <c r="L10" i="6" s="1"/>
  <c r="L11" i="6" s="1"/>
  <c r="L12" i="6" s="1"/>
  <c r="L13" i="6" s="1"/>
  <c r="J12" i="6"/>
  <c r="D11" i="6"/>
  <c r="G11" i="6" s="1"/>
  <c r="R12" i="6" s="1"/>
  <c r="P7" i="6"/>
  <c r="D11" i="5"/>
  <c r="G11" i="5" s="1"/>
  <c r="D12" i="5"/>
  <c r="G12" i="5" s="1"/>
  <c r="N10" i="5"/>
  <c r="R13" i="5"/>
  <c r="R11" i="5"/>
  <c r="R10" i="5"/>
  <c r="S10" i="5" s="1"/>
  <c r="T10" i="5" s="1"/>
  <c r="R8" i="5"/>
  <c r="R12" i="5"/>
  <c r="R4" i="5"/>
  <c r="N4" i="5"/>
  <c r="P8" i="5"/>
  <c r="P7" i="5"/>
  <c r="P4" i="5"/>
  <c r="P13" i="5"/>
  <c r="P9" i="5"/>
  <c r="K4" i="5"/>
  <c r="K5" i="5" s="1"/>
  <c r="K6" i="5" s="1"/>
  <c r="K7" i="5" s="1"/>
  <c r="K8" i="5" s="1"/>
  <c r="K9" i="5" s="1"/>
  <c r="K10" i="5" s="1"/>
  <c r="K11" i="5" s="1"/>
  <c r="K12" i="5" s="1"/>
  <c r="K13" i="5" s="1"/>
  <c r="L4" i="5"/>
  <c r="L5" i="5" s="1"/>
  <c r="L6" i="5" s="1"/>
  <c r="L7" i="5" s="1"/>
  <c r="L8" i="5" s="1"/>
  <c r="L9" i="5" s="1"/>
  <c r="L10" i="5" s="1"/>
  <c r="L11" i="5" s="1"/>
  <c r="L12" i="5" s="1"/>
  <c r="L13" i="5" s="1"/>
  <c r="P10" i="5"/>
  <c r="P7" i="3"/>
  <c r="L5" i="3"/>
  <c r="L6" i="3" s="1"/>
  <c r="L7" i="3" s="1"/>
  <c r="L8" i="3" s="1"/>
  <c r="L9" i="3" s="1"/>
  <c r="L10" i="3" s="1"/>
  <c r="L11" i="3" s="1"/>
  <c r="L12" i="3" s="1"/>
  <c r="L13" i="3" s="1"/>
  <c r="K4" i="3"/>
  <c r="P8" i="3"/>
  <c r="P4" i="3"/>
  <c r="P9" i="3"/>
  <c r="P10" i="3"/>
  <c r="P11" i="3"/>
  <c r="D12" i="6" l="1"/>
  <c r="G12" i="6" s="1"/>
  <c r="R13" i="6" s="1"/>
  <c r="J13" i="6"/>
  <c r="D13" i="6" s="1"/>
  <c r="G13" i="6" s="1"/>
  <c r="K5" i="3"/>
  <c r="K6" i="3" l="1"/>
  <c r="K7" i="3" l="1"/>
  <c r="K8" i="3" l="1"/>
  <c r="K9" i="3" l="1"/>
  <c r="K10" i="3" l="1"/>
  <c r="K11" i="3" l="1"/>
  <c r="K12" i="3" l="1"/>
  <c r="K13" i="3" l="1"/>
</calcChain>
</file>

<file path=xl/sharedStrings.xml><?xml version="1.0" encoding="utf-8"?>
<sst xmlns="http://schemas.openxmlformats.org/spreadsheetml/2006/main" count="97" uniqueCount="28">
  <si>
    <t>Nodes</t>
  </si>
  <si>
    <t>BLADJ</t>
  </si>
  <si>
    <t>My implementation</t>
  </si>
  <si>
    <t>Time (ms)</t>
  </si>
  <si>
    <t>Columbiformes_ott363030</t>
  </si>
  <si>
    <t>nodes</t>
  </si>
  <si>
    <t>root</t>
  </si>
  <si>
    <t>bladj</t>
  </si>
  <si>
    <t>me</t>
  </si>
  <si>
    <t>mrcaott5272ott9830</t>
  </si>
  <si>
    <t>Passeriformes_ott1041547</t>
  </si>
  <si>
    <t>Aves_ott81461</t>
  </si>
  <si>
    <t>Teleostei_ott212201</t>
  </si>
  <si>
    <t>Gastropoda_ott409995</t>
  </si>
  <si>
    <t>Magnoliopsida_ott99252</t>
  </si>
  <si>
    <t>Metazoa_ott691846</t>
  </si>
  <si>
    <t>cellular_organisms_ott93302</t>
  </si>
  <si>
    <t>Jungermanniales_ott56621</t>
  </si>
  <si>
    <t>Orchideae_ott976665</t>
  </si>
  <si>
    <t>Actual Magno run with Bladj:</t>
  </si>
  <si>
    <t>seconds</t>
  </si>
  <si>
    <t>minutes</t>
  </si>
  <si>
    <t>me new</t>
  </si>
  <si>
    <t>before my speedups:</t>
  </si>
  <si>
    <t>Muridae_ott816256</t>
  </si>
  <si>
    <t>mrcaott1822ott688506</t>
  </si>
  <si>
    <t>Squamata_ott35888</t>
  </si>
  <si>
    <t>Stramenopiles_ott266745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</si>
</sst>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0000"/>
    <numFmt numFmtId="167" formatCode="0.000000"/>
    <numFmt numFmtId="168" formatCode="0.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2" fillId="0" borderId="0" xfId="0" applyFont="1"/>
    <xf numFmtId="166" fontId="0" fillId="0" borderId="0" xfId="0" applyNumberFormat="1"/>
    <xf numFmtId="167" fontId="0" fillId="0" borderId="0" xfId="0" applyNumberFormat="1"/>
    <xf numFmtId="0" fontId="0" fillId="2" borderId="0" xfId="0" applyFill="1"/>
    <xf numFmtId="167" fontId="0" fillId="2" borderId="0" xfId="0" applyNumberFormat="1" applyFill="1"/>
    <xf numFmtId="168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E9A6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BLADJ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Sheet1!$C$5:$C$9</c:f>
              <c:numCache>
                <c:formatCode>_(* #,##0_);_(* \(#,##0\);_(* "-"??_);_(@_)</c:formatCode>
                <c:ptCount val="5"/>
                <c:pt idx="0">
                  <c:v>500</c:v>
                </c:pt>
                <c:pt idx="1">
                  <c:v>5000</c:v>
                </c:pt>
                <c:pt idx="2">
                  <c:v>50000</c:v>
                </c:pt>
                <c:pt idx="3">
                  <c:v>500000</c:v>
                </c:pt>
                <c:pt idx="4">
                  <c:v>5000000</c:v>
                </c:pt>
              </c:numCache>
            </c:numRef>
          </c:xVal>
          <c:yVal>
            <c:numRef>
              <c:f>Sheet1!$D$5:$D$9</c:f>
              <c:numCache>
                <c:formatCode>_(* #,##0_);_(* \(#,##0\);_(* "-"??_);_(@_)</c:formatCode>
                <c:ptCount val="5"/>
                <c:pt idx="0">
                  <c:v>25</c:v>
                </c:pt>
                <c:pt idx="1">
                  <c:v>2500</c:v>
                </c:pt>
                <c:pt idx="2">
                  <c:v>250000</c:v>
                </c:pt>
                <c:pt idx="3">
                  <c:v>25000000</c:v>
                </c:pt>
                <c:pt idx="4">
                  <c:v>2500000000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7F-3348-8C61-BFE90D966716}"/>
            </c:ext>
          </c:extLst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My implementation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Sheet1!$C$5:$C$9</c:f>
              <c:numCache>
                <c:formatCode>_(* #,##0_);_(* \(#,##0\);_(* "-"??_);_(@_)</c:formatCode>
                <c:ptCount val="5"/>
                <c:pt idx="0">
                  <c:v>500</c:v>
                </c:pt>
                <c:pt idx="1">
                  <c:v>5000</c:v>
                </c:pt>
                <c:pt idx="2">
                  <c:v>50000</c:v>
                </c:pt>
                <c:pt idx="3">
                  <c:v>500000</c:v>
                </c:pt>
                <c:pt idx="4">
                  <c:v>5000000</c:v>
                </c:pt>
              </c:numCache>
            </c:numRef>
          </c:xVal>
          <c:yVal>
            <c:numRef>
              <c:f>Sheet1!$E$5:$E$9</c:f>
              <c:numCache>
                <c:formatCode>_(* #,##0_);_(* \(#,##0\);_(* "-"??_);_(@_)</c:formatCode>
                <c:ptCount val="5"/>
                <c:pt idx="0">
                  <c:v>25</c:v>
                </c:pt>
                <c:pt idx="1">
                  <c:v>250</c:v>
                </c:pt>
                <c:pt idx="2">
                  <c:v>2500</c:v>
                </c:pt>
                <c:pt idx="3">
                  <c:v>25000</c:v>
                </c:pt>
                <c:pt idx="4">
                  <c:v>250000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7F-3348-8C61-BFE90D966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501439"/>
        <c:axId val="1294503151"/>
      </c:scatterChart>
      <c:valAx>
        <c:axId val="129450143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503151"/>
        <c:crosses val="autoZero"/>
        <c:crossBetween val="midCat"/>
      </c:valAx>
      <c:valAx>
        <c:axId val="129450315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501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51782273003302"/>
          <c:y val="2.4874947825095962E-2"/>
          <c:w val="0.80662668164852547"/>
          <c:h val="0.86317949543030759"/>
        </c:manualLayout>
      </c:layout>
      <c:scatterChart>
        <c:scatterStyle val="lineMarker"/>
        <c:varyColors val="0"/>
        <c:ser>
          <c:idx val="0"/>
          <c:order val="0"/>
          <c:tx>
            <c:v>BLADJ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Sheet2!$B$2:$B$9</c:f>
              <c:numCache>
                <c:formatCode>General</c:formatCode>
                <c:ptCount val="8"/>
                <c:pt idx="0">
                  <c:v>1020</c:v>
                </c:pt>
                <c:pt idx="1">
                  <c:v>2792</c:v>
                </c:pt>
                <c:pt idx="2">
                  <c:v>5651</c:v>
                </c:pt>
                <c:pt idx="3">
                  <c:v>9185</c:v>
                </c:pt>
                <c:pt idx="4">
                  <c:v>20094</c:v>
                </c:pt>
                <c:pt idx="5">
                  <c:v>34743</c:v>
                </c:pt>
                <c:pt idx="6">
                  <c:v>77626</c:v>
                </c:pt>
                <c:pt idx="7">
                  <c:v>149037</c:v>
                </c:pt>
              </c:numCache>
            </c:numRef>
          </c:xVal>
          <c:yVal>
            <c:numRef>
              <c:f>Sheet2!$C$2:$C$9</c:f>
              <c:numCache>
                <c:formatCode>General</c:formatCode>
                <c:ptCount val="8"/>
                <c:pt idx="0">
                  <c:v>2.8333333333333335E-4</c:v>
                </c:pt>
                <c:pt idx="1">
                  <c:v>2.1383333333333337E-3</c:v>
                </c:pt>
                <c:pt idx="2">
                  <c:v>2.725E-2</c:v>
                </c:pt>
                <c:pt idx="3">
                  <c:v>6.8999999999999992E-2</c:v>
                </c:pt>
                <c:pt idx="4">
                  <c:v>0.32294999999999996</c:v>
                </c:pt>
                <c:pt idx="5">
                  <c:v>1.1041333333333334</c:v>
                </c:pt>
                <c:pt idx="6">
                  <c:v>5.9398</c:v>
                </c:pt>
                <c:pt idx="7">
                  <c:v>29.123100000000001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92-C245-9418-CD9224A5026C}"/>
            </c:ext>
          </c:extLst>
        </c:ser>
        <c:ser>
          <c:idx val="2"/>
          <c:order val="1"/>
          <c:tx>
            <c:v>Inferred BLADJ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12700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xVal>
            <c:numRef>
              <c:f>Sheet2!$B$10:$B$12</c:f>
              <c:numCache>
                <c:formatCode>General</c:formatCode>
                <c:ptCount val="3"/>
                <c:pt idx="0">
                  <c:v>746762</c:v>
                </c:pt>
                <c:pt idx="1">
                  <c:v>3034423</c:v>
                </c:pt>
                <c:pt idx="2">
                  <c:v>4698009</c:v>
                </c:pt>
              </c:numCache>
            </c:numRef>
          </c:xVal>
          <c:yVal>
            <c:numRef>
              <c:f>Sheet2!$C$10:$C$12</c:f>
              <c:numCache>
                <c:formatCode>General</c:formatCode>
                <c:ptCount val="3"/>
                <c:pt idx="0">
                  <c:v>767.72047077372133</c:v>
                </c:pt>
                <c:pt idx="1">
                  <c:v>13310.067033585925</c:v>
                </c:pt>
                <c:pt idx="2">
                  <c:v>33500.013926645348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92-C245-9418-CD9224A5026C}"/>
            </c:ext>
          </c:extLst>
        </c:ser>
        <c:ser>
          <c:idx val="3"/>
          <c:order val="2"/>
          <c:tx>
            <c:v>n-squared growth trend</c:v>
          </c:tx>
          <c:spPr>
            <a:ln w="12700" cap="rnd">
              <a:solidFill>
                <a:schemeClr val="tx2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Sheet2!$B$2:$B$12</c:f>
              <c:numCache>
                <c:formatCode>General</c:formatCode>
                <c:ptCount val="11"/>
                <c:pt idx="0">
                  <c:v>1020</c:v>
                </c:pt>
                <c:pt idx="1">
                  <c:v>2792</c:v>
                </c:pt>
                <c:pt idx="2">
                  <c:v>5651</c:v>
                </c:pt>
                <c:pt idx="3">
                  <c:v>9185</c:v>
                </c:pt>
                <c:pt idx="4">
                  <c:v>20094</c:v>
                </c:pt>
                <c:pt idx="5">
                  <c:v>34743</c:v>
                </c:pt>
                <c:pt idx="6">
                  <c:v>77626</c:v>
                </c:pt>
                <c:pt idx="7">
                  <c:v>149037</c:v>
                </c:pt>
                <c:pt idx="8">
                  <c:v>746762</c:v>
                </c:pt>
                <c:pt idx="9">
                  <c:v>3034423</c:v>
                </c:pt>
                <c:pt idx="10">
                  <c:v>4698009</c:v>
                </c:pt>
              </c:numCache>
            </c:numRef>
          </c:xVal>
          <c:yVal>
            <c:numRef>
              <c:f>Sheet2!$E$2:$E$12</c:f>
              <c:numCache>
                <c:formatCode>General</c:formatCode>
                <c:ptCount val="11"/>
                <c:pt idx="0">
                  <c:v>5.6666666666666671E-4</c:v>
                </c:pt>
                <c:pt idx="1">
                  <c:v>4.2457864923747275E-3</c:v>
                </c:pt>
                <c:pt idx="2">
                  <c:v>1.7393137799564268E-2</c:v>
                </c:pt>
                <c:pt idx="3">
                  <c:v>4.5950013616557733E-2</c:v>
                </c:pt>
                <c:pt idx="4">
                  <c:v>0.21991766666666668</c:v>
                </c:pt>
                <c:pt idx="5">
                  <c:v>0.65744882843137253</c:v>
                </c:pt>
                <c:pt idx="6">
                  <c:v>3.2820238976034859</c:v>
                </c:pt>
                <c:pt idx="7">
                  <c:v>12.098054122549021</c:v>
                </c:pt>
                <c:pt idx="8">
                  <c:v>303.73283477342051</c:v>
                </c:pt>
                <c:pt idx="9">
                  <c:v>5015.0996421181917</c:v>
                </c:pt>
                <c:pt idx="10">
                  <c:v>12021.399000044119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D92-C245-9418-CD9224A5026C}"/>
            </c:ext>
          </c:extLst>
        </c:ser>
        <c:ser>
          <c:idx val="1"/>
          <c:order val="3"/>
          <c:tx>
            <c:v>Our implementation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Sheet2!$B$2:$B$12</c:f>
              <c:numCache>
                <c:formatCode>General</c:formatCode>
                <c:ptCount val="11"/>
                <c:pt idx="0">
                  <c:v>1020</c:v>
                </c:pt>
                <c:pt idx="1">
                  <c:v>2792</c:v>
                </c:pt>
                <c:pt idx="2">
                  <c:v>5651</c:v>
                </c:pt>
                <c:pt idx="3">
                  <c:v>9185</c:v>
                </c:pt>
                <c:pt idx="4">
                  <c:v>20094</c:v>
                </c:pt>
                <c:pt idx="5">
                  <c:v>34743</c:v>
                </c:pt>
                <c:pt idx="6">
                  <c:v>77626</c:v>
                </c:pt>
                <c:pt idx="7">
                  <c:v>149037</c:v>
                </c:pt>
                <c:pt idx="8">
                  <c:v>746762</c:v>
                </c:pt>
                <c:pt idx="9">
                  <c:v>3034423</c:v>
                </c:pt>
                <c:pt idx="10">
                  <c:v>4698009</c:v>
                </c:pt>
              </c:numCache>
            </c:numRef>
          </c:xVal>
          <c:yVal>
            <c:numRef>
              <c:f>Sheet2!$D$2:$D$12</c:f>
              <c:numCache>
                <c:formatCode>General</c:formatCode>
                <c:ptCount val="11"/>
                <c:pt idx="0">
                  <c:v>1.0333333333333333E-4</c:v>
                </c:pt>
                <c:pt idx="1">
                  <c:v>2.216666666666667E-4</c:v>
                </c:pt>
                <c:pt idx="2">
                  <c:v>4.8333333333333334E-4</c:v>
                </c:pt>
                <c:pt idx="3">
                  <c:v>7.983333333333333E-4</c:v>
                </c:pt>
                <c:pt idx="4">
                  <c:v>1.665E-3</c:v>
                </c:pt>
                <c:pt idx="5">
                  <c:v>2.8666666666666662E-3</c:v>
                </c:pt>
                <c:pt idx="6">
                  <c:v>6.5166666666666671E-3</c:v>
                </c:pt>
                <c:pt idx="7">
                  <c:v>1.1833333333333333E-2</c:v>
                </c:pt>
                <c:pt idx="8">
                  <c:v>6.183333333333333E-2</c:v>
                </c:pt>
                <c:pt idx="9">
                  <c:v>0.26</c:v>
                </c:pt>
                <c:pt idx="10">
                  <c:v>0.41000000000000003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92-C245-9418-CD9224A5026C}"/>
            </c:ext>
          </c:extLst>
        </c:ser>
        <c:ser>
          <c:idx val="4"/>
          <c:order val="4"/>
          <c:tx>
            <c:v>Linear growth trend</c:v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Sheet2!$B$2:$B$12</c:f>
              <c:numCache>
                <c:formatCode>General</c:formatCode>
                <c:ptCount val="11"/>
                <c:pt idx="0">
                  <c:v>1020</c:v>
                </c:pt>
                <c:pt idx="1">
                  <c:v>2792</c:v>
                </c:pt>
                <c:pt idx="2">
                  <c:v>5651</c:v>
                </c:pt>
                <c:pt idx="3">
                  <c:v>9185</c:v>
                </c:pt>
                <c:pt idx="4">
                  <c:v>20094</c:v>
                </c:pt>
                <c:pt idx="5">
                  <c:v>34743</c:v>
                </c:pt>
                <c:pt idx="6">
                  <c:v>77626</c:v>
                </c:pt>
                <c:pt idx="7">
                  <c:v>149037</c:v>
                </c:pt>
                <c:pt idx="8">
                  <c:v>746762</c:v>
                </c:pt>
                <c:pt idx="9">
                  <c:v>3034423</c:v>
                </c:pt>
                <c:pt idx="10">
                  <c:v>4698009</c:v>
                </c:pt>
              </c:numCache>
            </c:numRef>
          </c:xVal>
          <c:yVal>
            <c:numRef>
              <c:f>Sheet2!$F$2:$F$12</c:f>
              <c:numCache>
                <c:formatCode>General</c:formatCode>
                <c:ptCount val="11"/>
                <c:pt idx="0">
                  <c:v>1E-4</c:v>
                </c:pt>
                <c:pt idx="1">
                  <c:v>2.7372549019607844E-4</c:v>
                </c:pt>
                <c:pt idx="2">
                  <c:v>5.5401960784313726E-4</c:v>
                </c:pt>
                <c:pt idx="3">
                  <c:v>9.0049019607843137E-4</c:v>
                </c:pt>
                <c:pt idx="4">
                  <c:v>1.97E-3</c:v>
                </c:pt>
                <c:pt idx="5">
                  <c:v>3.406176470588235E-3</c:v>
                </c:pt>
                <c:pt idx="6">
                  <c:v>7.6103921568627438E-3</c:v>
                </c:pt>
                <c:pt idx="7">
                  <c:v>1.4611470588235292E-2</c:v>
                </c:pt>
                <c:pt idx="8">
                  <c:v>7.3211960784313718E-2</c:v>
                </c:pt>
                <c:pt idx="9">
                  <c:v>0.29749245098039212</c:v>
                </c:pt>
                <c:pt idx="10">
                  <c:v>0.46058911764705879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D92-C245-9418-CD9224A50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748992"/>
        <c:axId val="408750720"/>
      </c:scatterChart>
      <c:valAx>
        <c:axId val="408748992"/>
        <c:scaling>
          <c:logBase val="10"/>
          <c:orientation val="minMax"/>
          <c:min val="1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Number of nodes</a:t>
                </a:r>
                <a:r>
                  <a:rPr lang="en-GB" sz="1050" baseline="0"/>
                  <a:t> (</a:t>
                </a:r>
                <a:r>
                  <a:rPr lang="en-GB" sz="1050"/>
                  <a:t>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50720"/>
        <c:crossesAt val="1E-4"/>
        <c:crossBetween val="midCat"/>
      </c:valAx>
      <c:valAx>
        <c:axId val="408750720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Run time (minutes,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48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706442156328573"/>
          <c:y val="6.4926574076720325E-2"/>
          <c:w val="0.23694694106310227"/>
          <c:h val="0.202571821423694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51782273003302"/>
          <c:y val="2.4874947825095962E-2"/>
          <c:w val="0.80662668164852547"/>
          <c:h val="0.86317949543030759"/>
        </c:manualLayout>
      </c:layout>
      <c:scatterChart>
        <c:scatterStyle val="lineMarker"/>
        <c:varyColors val="0"/>
        <c:ser>
          <c:idx val="0"/>
          <c:order val="0"/>
          <c:tx>
            <c:v>BLADJ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(2)'!$B$3:$B$10</c:f>
              <c:numCache>
                <c:formatCode>0</c:formatCode>
                <c:ptCount val="8"/>
                <c:pt idx="0">
                  <c:v>1020</c:v>
                </c:pt>
                <c:pt idx="1">
                  <c:v>2792</c:v>
                </c:pt>
                <c:pt idx="2">
                  <c:v>5651</c:v>
                </c:pt>
                <c:pt idx="3">
                  <c:v>9185</c:v>
                </c:pt>
                <c:pt idx="4">
                  <c:v>20094</c:v>
                </c:pt>
                <c:pt idx="5">
                  <c:v>34743</c:v>
                </c:pt>
                <c:pt idx="6">
                  <c:v>77626</c:v>
                </c:pt>
                <c:pt idx="7">
                  <c:v>149037</c:v>
                </c:pt>
              </c:numCache>
            </c:numRef>
          </c:xVal>
          <c:yVal>
            <c:numRef>
              <c:f>'Sheet2 (2)'!$G$3:$G$10</c:f>
              <c:numCache>
                <c:formatCode>0.000000</c:formatCode>
                <c:ptCount val="8"/>
                <c:pt idx="0">
                  <c:v>2.8333333333333335E-4</c:v>
                </c:pt>
                <c:pt idx="1">
                  <c:v>2.1383333333333337E-3</c:v>
                </c:pt>
                <c:pt idx="2">
                  <c:v>2.725E-2</c:v>
                </c:pt>
                <c:pt idx="3">
                  <c:v>6.8999999999999992E-2</c:v>
                </c:pt>
                <c:pt idx="4" formatCode="General">
                  <c:v>0.32294999999999996</c:v>
                </c:pt>
                <c:pt idx="5" formatCode="General">
                  <c:v>1.1041333333333334</c:v>
                </c:pt>
                <c:pt idx="6" formatCode="General">
                  <c:v>5.9398</c:v>
                </c:pt>
                <c:pt idx="7" formatCode="General">
                  <c:v>29.123100000000001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A4-4B42-9370-044238449E2E}"/>
            </c:ext>
          </c:extLst>
        </c:ser>
        <c:ser>
          <c:idx val="2"/>
          <c:order val="1"/>
          <c:tx>
            <c:v>Inferred BLADJ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12700">
                <a:solidFill>
                  <a:schemeClr val="accent1"/>
                </a:solidFill>
              </a:ln>
              <a:effectLst/>
            </c:spPr>
          </c:marker>
          <c:xVal>
            <c:numRef>
              <c:f>'Sheet2 (2)'!$B$11:$B$13</c:f>
              <c:numCache>
                <c:formatCode>0</c:formatCode>
                <c:ptCount val="3"/>
                <c:pt idx="0">
                  <c:v>746762</c:v>
                </c:pt>
                <c:pt idx="1">
                  <c:v>3034423</c:v>
                </c:pt>
                <c:pt idx="2">
                  <c:v>4698009</c:v>
                </c:pt>
              </c:numCache>
            </c:numRef>
          </c:xVal>
          <c:yVal>
            <c:numRef>
              <c:f>'Sheet2 (2)'!$G$11:$G$13</c:f>
              <c:numCache>
                <c:formatCode>General</c:formatCode>
                <c:ptCount val="3"/>
                <c:pt idx="0">
                  <c:v>767.72047077372133</c:v>
                </c:pt>
                <c:pt idx="1">
                  <c:v>13310.067033585925</c:v>
                </c:pt>
                <c:pt idx="2">
                  <c:v>33500.013926645348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A4-4B42-9370-044238449E2E}"/>
            </c:ext>
          </c:extLst>
        </c:ser>
        <c:ser>
          <c:idx val="3"/>
          <c:order val="2"/>
          <c:tx>
            <c:v>Quadratic growth trend</c:v>
          </c:tx>
          <c:spPr>
            <a:ln w="12700" cap="rnd">
              <a:solidFill>
                <a:schemeClr val="tx2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'Sheet2 (2)'!$B$3:$B$13</c:f>
              <c:numCache>
                <c:formatCode>0</c:formatCode>
                <c:ptCount val="11"/>
                <c:pt idx="0">
                  <c:v>1020</c:v>
                </c:pt>
                <c:pt idx="1">
                  <c:v>2792</c:v>
                </c:pt>
                <c:pt idx="2">
                  <c:v>5651</c:v>
                </c:pt>
                <c:pt idx="3">
                  <c:v>9185</c:v>
                </c:pt>
                <c:pt idx="4">
                  <c:v>20094</c:v>
                </c:pt>
                <c:pt idx="5">
                  <c:v>34743</c:v>
                </c:pt>
                <c:pt idx="6">
                  <c:v>77626</c:v>
                </c:pt>
                <c:pt idx="7">
                  <c:v>149037</c:v>
                </c:pt>
                <c:pt idx="8">
                  <c:v>746762</c:v>
                </c:pt>
                <c:pt idx="9">
                  <c:v>3034423</c:v>
                </c:pt>
                <c:pt idx="10">
                  <c:v>4698009</c:v>
                </c:pt>
              </c:numCache>
            </c:numRef>
          </c:xVal>
          <c:yVal>
            <c:numRef>
              <c:f>'Sheet2 (2)'!$J$3:$J$13</c:f>
              <c:numCache>
                <c:formatCode>General</c:formatCode>
                <c:ptCount val="11"/>
                <c:pt idx="0">
                  <c:v>8.5000000000000006E-4</c:v>
                </c:pt>
                <c:pt idx="1">
                  <c:v>6.3686797385620912E-3</c:v>
                </c:pt>
                <c:pt idx="2">
                  <c:v>2.6089706699346404E-2</c:v>
                </c:pt>
                <c:pt idx="3">
                  <c:v>6.89250204248366E-2</c:v>
                </c:pt>
                <c:pt idx="4">
                  <c:v>0.32987650000000002</c:v>
                </c:pt>
                <c:pt idx="5">
                  <c:v>0.98617324264705886</c:v>
                </c:pt>
                <c:pt idx="6">
                  <c:v>4.9230358464052291</c:v>
                </c:pt>
                <c:pt idx="7">
                  <c:v>18.147081183823531</c:v>
                </c:pt>
                <c:pt idx="8">
                  <c:v>455.59925216013073</c:v>
                </c:pt>
                <c:pt idx="9">
                  <c:v>7522.6494631772875</c:v>
                </c:pt>
                <c:pt idx="10">
                  <c:v>18032.098500066179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A4-4B42-9370-044238449E2E}"/>
            </c:ext>
          </c:extLst>
        </c:ser>
        <c:ser>
          <c:idx val="1"/>
          <c:order val="3"/>
          <c:tx>
            <c:v>Our implementation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>
                  <a:alpha val="2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'Sheet2 (2)'!$B$3:$B$13</c:f>
              <c:numCache>
                <c:formatCode>0</c:formatCode>
                <c:ptCount val="11"/>
                <c:pt idx="0">
                  <c:v>1020</c:v>
                </c:pt>
                <c:pt idx="1">
                  <c:v>2792</c:v>
                </c:pt>
                <c:pt idx="2">
                  <c:v>5651</c:v>
                </c:pt>
                <c:pt idx="3">
                  <c:v>9185</c:v>
                </c:pt>
                <c:pt idx="4">
                  <c:v>20094</c:v>
                </c:pt>
                <c:pt idx="5">
                  <c:v>34743</c:v>
                </c:pt>
                <c:pt idx="6">
                  <c:v>77626</c:v>
                </c:pt>
                <c:pt idx="7">
                  <c:v>149037</c:v>
                </c:pt>
                <c:pt idx="8">
                  <c:v>746762</c:v>
                </c:pt>
                <c:pt idx="9">
                  <c:v>3034423</c:v>
                </c:pt>
                <c:pt idx="10">
                  <c:v>4698009</c:v>
                </c:pt>
              </c:numCache>
            </c:numRef>
          </c:xVal>
          <c:yVal>
            <c:numRef>
              <c:f>'Sheet2 (2)'!$H$3:$H$13</c:f>
              <c:numCache>
                <c:formatCode>0.000000</c:formatCode>
                <c:ptCount val="11"/>
                <c:pt idx="0">
                  <c:v>8.9666666666666673E-5</c:v>
                </c:pt>
                <c:pt idx="1">
                  <c:v>2.2666666666666666E-4</c:v>
                </c:pt>
                <c:pt idx="2">
                  <c:v>4.2000000000000002E-4</c:v>
                </c:pt>
                <c:pt idx="3">
                  <c:v>6.6666666666666664E-4</c:v>
                </c:pt>
                <c:pt idx="4">
                  <c:v>1.5E-3</c:v>
                </c:pt>
                <c:pt idx="5">
                  <c:v>2.5499999999999997E-3</c:v>
                </c:pt>
                <c:pt idx="6">
                  <c:v>5.8166666666666662E-3</c:v>
                </c:pt>
                <c:pt idx="7">
                  <c:v>1.1016666666666668E-2</c:v>
                </c:pt>
                <c:pt idx="8">
                  <c:v>5.5500000000000001E-2</c:v>
                </c:pt>
                <c:pt idx="9">
                  <c:v>0.23166666666666666</c:v>
                </c:pt>
                <c:pt idx="10">
                  <c:v>0.36333333333333334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A4-4B42-9370-044238449E2E}"/>
            </c:ext>
          </c:extLst>
        </c:ser>
        <c:ser>
          <c:idx val="4"/>
          <c:order val="4"/>
          <c:tx>
            <c:v>Linear growth trend</c:v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'Sheet2 (2)'!$B$3:$B$13</c:f>
              <c:numCache>
                <c:formatCode>0</c:formatCode>
                <c:ptCount val="11"/>
                <c:pt idx="0">
                  <c:v>1020</c:v>
                </c:pt>
                <c:pt idx="1">
                  <c:v>2792</c:v>
                </c:pt>
                <c:pt idx="2">
                  <c:v>5651</c:v>
                </c:pt>
                <c:pt idx="3">
                  <c:v>9185</c:v>
                </c:pt>
                <c:pt idx="4">
                  <c:v>20094</c:v>
                </c:pt>
                <c:pt idx="5">
                  <c:v>34743</c:v>
                </c:pt>
                <c:pt idx="6">
                  <c:v>77626</c:v>
                </c:pt>
                <c:pt idx="7">
                  <c:v>149037</c:v>
                </c:pt>
                <c:pt idx="8">
                  <c:v>746762</c:v>
                </c:pt>
                <c:pt idx="9">
                  <c:v>3034423</c:v>
                </c:pt>
                <c:pt idx="10">
                  <c:v>4698009</c:v>
                </c:pt>
              </c:numCache>
            </c:numRef>
          </c:xVal>
          <c:yVal>
            <c:numRef>
              <c:f>'Sheet2 (2)'!$K$3:$K$13</c:f>
              <c:numCache>
                <c:formatCode>General</c:formatCode>
                <c:ptCount val="11"/>
                <c:pt idx="0" formatCode="0.000000">
                  <c:v>8.9666666666666673E-5</c:v>
                </c:pt>
                <c:pt idx="1">
                  <c:v>2.4544052287581701E-4</c:v>
                </c:pt>
                <c:pt idx="2">
                  <c:v>4.9677091503267973E-4</c:v>
                </c:pt>
                <c:pt idx="3">
                  <c:v>8.0743954248366006E-4</c:v>
                </c:pt>
                <c:pt idx="4">
                  <c:v>1.7664333333333331E-3</c:v>
                </c:pt>
                <c:pt idx="5">
                  <c:v>3.0542049019607839E-3</c:v>
                </c:pt>
                <c:pt idx="6">
                  <c:v>6.8239849673202612E-3</c:v>
                </c:pt>
                <c:pt idx="7">
                  <c:v>1.3101618627450979E-2</c:v>
                </c:pt>
                <c:pt idx="8">
                  <c:v>6.5646724836601306E-2</c:v>
                </c:pt>
                <c:pt idx="9">
                  <c:v>0.26675156437908493</c:v>
                </c:pt>
                <c:pt idx="10">
                  <c:v>0.41299490882352941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6A4-4B42-9370-044238449E2E}"/>
            </c:ext>
          </c:extLst>
        </c:ser>
        <c:ser>
          <c:idx val="5"/>
          <c:order val="5"/>
          <c:tx>
            <c:v>With parsimonious date cleaning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'Sheet2 (2)'!$B$3:$B$13</c:f>
              <c:numCache>
                <c:formatCode>0</c:formatCode>
                <c:ptCount val="11"/>
                <c:pt idx="0">
                  <c:v>1020</c:v>
                </c:pt>
                <c:pt idx="1">
                  <c:v>2792</c:v>
                </c:pt>
                <c:pt idx="2">
                  <c:v>5651</c:v>
                </c:pt>
                <c:pt idx="3">
                  <c:v>9185</c:v>
                </c:pt>
                <c:pt idx="4">
                  <c:v>20094</c:v>
                </c:pt>
                <c:pt idx="5">
                  <c:v>34743</c:v>
                </c:pt>
                <c:pt idx="6">
                  <c:v>77626</c:v>
                </c:pt>
                <c:pt idx="7">
                  <c:v>149037</c:v>
                </c:pt>
                <c:pt idx="8">
                  <c:v>746762</c:v>
                </c:pt>
                <c:pt idx="9">
                  <c:v>3034423</c:v>
                </c:pt>
                <c:pt idx="10">
                  <c:v>4698009</c:v>
                </c:pt>
              </c:numCache>
            </c:numRef>
          </c:xVal>
          <c:yVal>
            <c:numRef>
              <c:f>'Sheet2 (2)'!$I$3:$I$13</c:f>
              <c:numCache>
                <c:formatCode>0.000000</c:formatCode>
                <c:ptCount val="11"/>
                <c:pt idx="0">
                  <c:v>9.8666666666666662E-5</c:v>
                </c:pt>
                <c:pt idx="1">
                  <c:v>2.4000000000000001E-4</c:v>
                </c:pt>
                <c:pt idx="2">
                  <c:v>4.3166666666666668E-4</c:v>
                </c:pt>
                <c:pt idx="3">
                  <c:v>6.6666666666666664E-4</c:v>
                </c:pt>
                <c:pt idx="4">
                  <c:v>2.2333333333333333E-3</c:v>
                </c:pt>
                <c:pt idx="5">
                  <c:v>4.15E-3</c:v>
                </c:pt>
                <c:pt idx="6">
                  <c:v>9.566666666666666E-3</c:v>
                </c:pt>
                <c:pt idx="7">
                  <c:v>1.1266666666666668E-2</c:v>
                </c:pt>
                <c:pt idx="8">
                  <c:v>6.4666666666666664E-2</c:v>
                </c:pt>
                <c:pt idx="9">
                  <c:v>0.28000000000000003</c:v>
                </c:pt>
                <c:pt idx="10">
                  <c:v>0.49333333333333335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6A4-4B42-9370-044238449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748992"/>
        <c:axId val="408750720"/>
      </c:scatterChart>
      <c:valAx>
        <c:axId val="408748992"/>
        <c:scaling>
          <c:logBase val="10"/>
          <c:orientation val="minMax"/>
          <c:min val="1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Number of nodes</a:t>
                </a:r>
                <a:r>
                  <a:rPr lang="en-GB" sz="1050" baseline="0"/>
                  <a:t> (</a:t>
                </a:r>
                <a:r>
                  <a:rPr lang="en-GB" sz="1050"/>
                  <a:t>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50720"/>
        <c:crossesAt val="1E-4"/>
        <c:crossBetween val="midCat"/>
      </c:valAx>
      <c:valAx>
        <c:axId val="408750720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Run time (minutes,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100]#,###;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48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706442156328573"/>
          <c:y val="6.4926574076720325E-2"/>
          <c:w val="0.30488111190924672"/>
          <c:h val="0.243086228592628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51782273003302"/>
          <c:y val="2.4874947825095962E-2"/>
          <c:w val="0.80662668164852547"/>
          <c:h val="0.86317949543030759"/>
        </c:manualLayout>
      </c:layout>
      <c:scatterChart>
        <c:scatterStyle val="lineMarker"/>
        <c:varyColors val="0"/>
        <c:ser>
          <c:idx val="0"/>
          <c:order val="0"/>
          <c:tx>
            <c:v>BLADJ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'ete4'!$B$3:$B$10</c:f>
              <c:numCache>
                <c:formatCode>0</c:formatCode>
                <c:ptCount val="8"/>
                <c:pt idx="0">
                  <c:v>685</c:v>
                </c:pt>
                <c:pt idx="1">
                  <c:v>2007</c:v>
                </c:pt>
                <c:pt idx="2">
                  <c:v>4783</c:v>
                </c:pt>
                <c:pt idx="3">
                  <c:v>9069</c:v>
                </c:pt>
                <c:pt idx="4">
                  <c:v>13179</c:v>
                </c:pt>
                <c:pt idx="5">
                  <c:v>21843</c:v>
                </c:pt>
                <c:pt idx="6">
                  <c:v>74731</c:v>
                </c:pt>
                <c:pt idx="7">
                  <c:v>140247</c:v>
                </c:pt>
              </c:numCache>
            </c:numRef>
          </c:xVal>
          <c:yVal>
            <c:numRef>
              <c:f>'ete4'!$G$3:$G$10</c:f>
              <c:numCache>
                <c:formatCode>0.000000</c:formatCode>
                <c:ptCount val="8"/>
                <c:pt idx="0">
                  <c:v>2.5000000000000001E-4</c:v>
                </c:pt>
                <c:pt idx="1">
                  <c:v>1.7333333333333333E-3</c:v>
                </c:pt>
                <c:pt idx="2">
                  <c:v>2.5866666666666666E-2</c:v>
                </c:pt>
                <c:pt idx="3">
                  <c:v>6.8400000000000002E-2</c:v>
                </c:pt>
                <c:pt idx="4">
                  <c:v>0.13150000000000001</c:v>
                </c:pt>
                <c:pt idx="5">
                  <c:v>0.40633333333333332</c:v>
                </c:pt>
                <c:pt idx="6">
                  <c:v>5.4089833333333335</c:v>
                </c:pt>
                <c:pt idx="7">
                  <c:v>25.759999999999998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8A-B542-9008-310CA82948F0}"/>
            </c:ext>
          </c:extLst>
        </c:ser>
        <c:ser>
          <c:idx val="2"/>
          <c:order val="1"/>
          <c:tx>
            <c:v>Inferred BLADJ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12700">
                <a:solidFill>
                  <a:schemeClr val="accent1"/>
                </a:solidFill>
              </a:ln>
              <a:effectLst/>
            </c:spPr>
          </c:marker>
          <c:xVal>
            <c:numRef>
              <c:f>'ete4'!$B$11:$B$13</c:f>
              <c:numCache>
                <c:formatCode>0</c:formatCode>
                <c:ptCount val="3"/>
                <c:pt idx="0">
                  <c:v>746891</c:v>
                </c:pt>
                <c:pt idx="1">
                  <c:v>2950313</c:v>
                </c:pt>
                <c:pt idx="2">
                  <c:v>4589559</c:v>
                </c:pt>
              </c:numCache>
            </c:numRef>
          </c:xVal>
          <c:yVal>
            <c:numRef>
              <c:f>'ete4'!$G$11:$G$13</c:f>
              <c:numCache>
                <c:formatCode>0.000000</c:formatCode>
                <c:ptCount val="3"/>
                <c:pt idx="0">
                  <c:v>534.99019584730138</c:v>
                </c:pt>
                <c:pt idx="1">
                  <c:v>8347.7139092888265</c:v>
                </c:pt>
                <c:pt idx="2">
                  <c:v>20201.019375601147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8A-B542-9008-310CA82948F0}"/>
            </c:ext>
          </c:extLst>
        </c:ser>
        <c:ser>
          <c:idx val="3"/>
          <c:order val="2"/>
          <c:tx>
            <c:v>Quadratic growth trend</c:v>
          </c:tx>
          <c:spPr>
            <a:ln w="12700" cap="rnd">
              <a:solidFill>
                <a:schemeClr val="tx2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'ete4'!$B$3:$B$13</c:f>
              <c:numCache>
                <c:formatCode>0</c:formatCode>
                <c:ptCount val="11"/>
                <c:pt idx="0">
                  <c:v>685</c:v>
                </c:pt>
                <c:pt idx="1">
                  <c:v>2007</c:v>
                </c:pt>
                <c:pt idx="2">
                  <c:v>4783</c:v>
                </c:pt>
                <c:pt idx="3">
                  <c:v>9069</c:v>
                </c:pt>
                <c:pt idx="4">
                  <c:v>13179</c:v>
                </c:pt>
                <c:pt idx="5">
                  <c:v>21843</c:v>
                </c:pt>
                <c:pt idx="6">
                  <c:v>74731</c:v>
                </c:pt>
                <c:pt idx="7">
                  <c:v>140247</c:v>
                </c:pt>
                <c:pt idx="8">
                  <c:v>746891</c:v>
                </c:pt>
                <c:pt idx="9">
                  <c:v>2950313</c:v>
                </c:pt>
                <c:pt idx="10">
                  <c:v>4589559</c:v>
                </c:pt>
              </c:numCache>
            </c:numRef>
          </c:xVal>
          <c:yVal>
            <c:numRef>
              <c:f>'ete4'!$J$3:$J$13</c:f>
              <c:numCache>
                <c:formatCode>General</c:formatCode>
                <c:ptCount val="11"/>
                <c:pt idx="0" formatCode="0.000000">
                  <c:v>4.5000000000000004E-4</c:v>
                </c:pt>
                <c:pt idx="1">
                  <c:v>3.863012520645746E-3</c:v>
                </c:pt>
                <c:pt idx="2">
                  <c:v>2.1939773136554961E-2</c:v>
                </c:pt>
                <c:pt idx="3">
                  <c:v>7.8876961905269341E-2</c:v>
                </c:pt>
                <c:pt idx="4">
                  <c:v>0.16656980862059781</c:v>
                </c:pt>
                <c:pt idx="5">
                  <c:v>0.4575683138153338</c:v>
                </c:pt>
                <c:pt idx="6">
                  <c:v>5.3559061483296926</c:v>
                </c:pt>
                <c:pt idx="7">
                  <c:v>18.863337320155576</c:v>
                </c:pt>
                <c:pt idx="8">
                  <c:v>534.99019584730138</c:v>
                </c:pt>
                <c:pt idx="9">
                  <c:v>8347.7139092888265</c:v>
                </c:pt>
                <c:pt idx="10">
                  <c:v>20201.019375601147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8A-B542-9008-310CA82948F0}"/>
            </c:ext>
          </c:extLst>
        </c:ser>
        <c:ser>
          <c:idx val="1"/>
          <c:order val="3"/>
          <c:tx>
            <c:v>Our implementation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>
                  <a:alpha val="2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'ete4'!$B$3:$B$13</c:f>
              <c:numCache>
                <c:formatCode>0</c:formatCode>
                <c:ptCount val="11"/>
                <c:pt idx="0">
                  <c:v>685</c:v>
                </c:pt>
                <c:pt idx="1">
                  <c:v>2007</c:v>
                </c:pt>
                <c:pt idx="2">
                  <c:v>4783</c:v>
                </c:pt>
                <c:pt idx="3">
                  <c:v>9069</c:v>
                </c:pt>
                <c:pt idx="4">
                  <c:v>13179</c:v>
                </c:pt>
                <c:pt idx="5">
                  <c:v>21843</c:v>
                </c:pt>
                <c:pt idx="6">
                  <c:v>74731</c:v>
                </c:pt>
                <c:pt idx="7">
                  <c:v>140247</c:v>
                </c:pt>
                <c:pt idx="8">
                  <c:v>746891</c:v>
                </c:pt>
                <c:pt idx="9">
                  <c:v>2950313</c:v>
                </c:pt>
                <c:pt idx="10">
                  <c:v>4589559</c:v>
                </c:pt>
              </c:numCache>
            </c:numRef>
          </c:xVal>
          <c:yVal>
            <c:numRef>
              <c:f>'ete4'!$H$3:$H$13</c:f>
              <c:numCache>
                <c:formatCode>0.000000</c:formatCode>
                <c:ptCount val="11"/>
                <c:pt idx="0">
                  <c:v>7.9999999999999993E-5</c:v>
                </c:pt>
                <c:pt idx="1">
                  <c:v>2.2000000000000001E-4</c:v>
                </c:pt>
                <c:pt idx="2">
                  <c:v>5.5000000000000003E-4</c:v>
                </c:pt>
                <c:pt idx="3">
                  <c:v>8.516666666666667E-4</c:v>
                </c:pt>
                <c:pt idx="4">
                  <c:v>1.1816666666666668E-3</c:v>
                </c:pt>
                <c:pt idx="5">
                  <c:v>1.9166666666666668E-3</c:v>
                </c:pt>
                <c:pt idx="6">
                  <c:v>7.2166666666666664E-3</c:v>
                </c:pt>
                <c:pt idx="7">
                  <c:v>1.3383333333333334E-2</c:v>
                </c:pt>
                <c:pt idx="8">
                  <c:v>7.4666666666666673E-2</c:v>
                </c:pt>
                <c:pt idx="9">
                  <c:v>0.28500000000000003</c:v>
                </c:pt>
                <c:pt idx="10">
                  <c:v>0.44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8A-B542-9008-310CA82948F0}"/>
            </c:ext>
          </c:extLst>
        </c:ser>
        <c:ser>
          <c:idx val="4"/>
          <c:order val="4"/>
          <c:tx>
            <c:v>Linear growth trend</c:v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'ete4'!$B$3:$B$13</c:f>
              <c:numCache>
                <c:formatCode>0</c:formatCode>
                <c:ptCount val="11"/>
                <c:pt idx="0">
                  <c:v>685</c:v>
                </c:pt>
                <c:pt idx="1">
                  <c:v>2007</c:v>
                </c:pt>
                <c:pt idx="2">
                  <c:v>4783</c:v>
                </c:pt>
                <c:pt idx="3">
                  <c:v>9069</c:v>
                </c:pt>
                <c:pt idx="4">
                  <c:v>13179</c:v>
                </c:pt>
                <c:pt idx="5">
                  <c:v>21843</c:v>
                </c:pt>
                <c:pt idx="6">
                  <c:v>74731</c:v>
                </c:pt>
                <c:pt idx="7">
                  <c:v>140247</c:v>
                </c:pt>
                <c:pt idx="8">
                  <c:v>746891</c:v>
                </c:pt>
                <c:pt idx="9">
                  <c:v>2950313</c:v>
                </c:pt>
                <c:pt idx="10">
                  <c:v>4589559</c:v>
                </c:pt>
              </c:numCache>
            </c:numRef>
          </c:xVal>
          <c:yVal>
            <c:numRef>
              <c:f>'ete4'!$K$3:$K$13</c:f>
              <c:numCache>
                <c:formatCode>General</c:formatCode>
                <c:ptCount val="11"/>
                <c:pt idx="0" formatCode="0.000000">
                  <c:v>7.2000000000000002E-5</c:v>
                </c:pt>
                <c:pt idx="1">
                  <c:v>2.1095474452554743E-4</c:v>
                </c:pt>
                <c:pt idx="2">
                  <c:v>5.0273868613138681E-4</c:v>
                </c:pt>
                <c:pt idx="3">
                  <c:v>9.5323795620437957E-4</c:v>
                </c:pt>
                <c:pt idx="4">
                  <c:v>1.3852379562043797E-3</c:v>
                </c:pt>
                <c:pt idx="5">
                  <c:v>2.2959065693430661E-3</c:v>
                </c:pt>
                <c:pt idx="6">
                  <c:v>7.8549372262773729E-3</c:v>
                </c:pt>
                <c:pt idx="7">
                  <c:v>1.4741290510948907E-2</c:v>
                </c:pt>
                <c:pt idx="8">
                  <c:v>7.8505331386861318E-2</c:v>
                </c:pt>
                <c:pt idx="9">
                  <c:v>0.31010589197080296</c:v>
                </c:pt>
                <c:pt idx="10">
                  <c:v>0.48240620145985408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78A-B542-9008-310CA82948F0}"/>
            </c:ext>
          </c:extLst>
        </c:ser>
        <c:ser>
          <c:idx val="5"/>
          <c:order val="5"/>
          <c:tx>
            <c:v>With parsimonious date cleaning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'ete4'!$B$3:$B$13</c:f>
              <c:numCache>
                <c:formatCode>0</c:formatCode>
                <c:ptCount val="11"/>
                <c:pt idx="0">
                  <c:v>685</c:v>
                </c:pt>
                <c:pt idx="1">
                  <c:v>2007</c:v>
                </c:pt>
                <c:pt idx="2">
                  <c:v>4783</c:v>
                </c:pt>
                <c:pt idx="3">
                  <c:v>9069</c:v>
                </c:pt>
                <c:pt idx="4">
                  <c:v>13179</c:v>
                </c:pt>
                <c:pt idx="5">
                  <c:v>21843</c:v>
                </c:pt>
                <c:pt idx="6">
                  <c:v>74731</c:v>
                </c:pt>
                <c:pt idx="7">
                  <c:v>140247</c:v>
                </c:pt>
                <c:pt idx="8">
                  <c:v>746891</c:v>
                </c:pt>
                <c:pt idx="9">
                  <c:v>2950313</c:v>
                </c:pt>
                <c:pt idx="10">
                  <c:v>4589559</c:v>
                </c:pt>
              </c:numCache>
            </c:numRef>
          </c:xVal>
          <c:yVal>
            <c:numRef>
              <c:f>'ete4'!$I$3:$I$13</c:f>
              <c:numCache>
                <c:formatCode>0.000000</c:formatCode>
                <c:ptCount val="11"/>
                <c:pt idx="0">
                  <c:v>1.0666666666666667E-4</c:v>
                </c:pt>
                <c:pt idx="1">
                  <c:v>4.3333333333333331E-4</c:v>
                </c:pt>
                <c:pt idx="2">
                  <c:v>5.5000000000000003E-4</c:v>
                </c:pt>
                <c:pt idx="3">
                  <c:v>9.8166666666666671E-4</c:v>
                </c:pt>
                <c:pt idx="4">
                  <c:v>4.6999999999999993E-3</c:v>
                </c:pt>
                <c:pt idx="5">
                  <c:v>9.9499999999999988E-3</c:v>
                </c:pt>
                <c:pt idx="6">
                  <c:v>1.6066666666666667E-2</c:v>
                </c:pt>
                <c:pt idx="7">
                  <c:v>1.3866666666666666E-2</c:v>
                </c:pt>
                <c:pt idx="8">
                  <c:v>0.14899999999999999</c:v>
                </c:pt>
                <c:pt idx="9">
                  <c:v>0.40500000000000003</c:v>
                </c:pt>
                <c:pt idx="10">
                  <c:v>0.84666666666666657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78A-B542-9008-310CA8294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748992"/>
        <c:axId val="408750720"/>
      </c:scatterChart>
      <c:valAx>
        <c:axId val="408748992"/>
        <c:scaling>
          <c:logBase val="10"/>
          <c:orientation val="minMax"/>
          <c:min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Number of nodes</a:t>
                </a:r>
                <a:r>
                  <a:rPr lang="en-GB" sz="1050" baseline="0"/>
                  <a:t> (</a:t>
                </a:r>
                <a:r>
                  <a:rPr lang="en-GB" sz="1050"/>
                  <a:t>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50720"/>
        <c:crossesAt val="1.0000000000000001E-5"/>
        <c:crossBetween val="midCat"/>
      </c:valAx>
      <c:valAx>
        <c:axId val="408750720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Run time (minutes,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100]#,###;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48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706442156328573"/>
          <c:y val="6.4926574076720325E-2"/>
          <c:w val="0.30488111190924672"/>
          <c:h val="0.243086228592628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51782273003302"/>
          <c:y val="2.4874947825095962E-2"/>
          <c:w val="0.80662668164852547"/>
          <c:h val="0.86317949543030759"/>
        </c:manualLayout>
      </c:layout>
      <c:scatterChart>
        <c:scatterStyle val="lineMarker"/>
        <c:varyColors val="0"/>
        <c:ser>
          <c:idx val="0"/>
          <c:order val="0"/>
          <c:tx>
            <c:v>BLADJ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'ete4 (2)'!$B$3:$B$10</c:f>
              <c:numCache>
                <c:formatCode>0</c:formatCode>
                <c:ptCount val="8"/>
                <c:pt idx="0">
                  <c:v>685</c:v>
                </c:pt>
                <c:pt idx="1">
                  <c:v>2007</c:v>
                </c:pt>
                <c:pt idx="2">
                  <c:v>4783</c:v>
                </c:pt>
                <c:pt idx="3">
                  <c:v>9069</c:v>
                </c:pt>
                <c:pt idx="4">
                  <c:v>22441</c:v>
                </c:pt>
                <c:pt idx="5">
                  <c:v>40175</c:v>
                </c:pt>
                <c:pt idx="6">
                  <c:v>74731</c:v>
                </c:pt>
                <c:pt idx="7">
                  <c:v>140247</c:v>
                </c:pt>
              </c:numCache>
            </c:numRef>
          </c:xVal>
          <c:yVal>
            <c:numRef>
              <c:f>'ete4 (2)'!$G$3:$G$10</c:f>
              <c:numCache>
                <c:formatCode>0.000000</c:formatCode>
                <c:ptCount val="8"/>
                <c:pt idx="0">
                  <c:v>2.5000000000000001E-4</c:v>
                </c:pt>
                <c:pt idx="1">
                  <c:v>1.7333333333333333E-3</c:v>
                </c:pt>
                <c:pt idx="2">
                  <c:v>2.5866666666666666E-2</c:v>
                </c:pt>
                <c:pt idx="3">
                  <c:v>6.8400000000000002E-2</c:v>
                </c:pt>
                <c:pt idx="4">
                  <c:v>0.29291666666666666</c:v>
                </c:pt>
                <c:pt idx="5">
                  <c:v>3.2537499999999997</c:v>
                </c:pt>
                <c:pt idx="6">
                  <c:v>5.4089833333333335</c:v>
                </c:pt>
                <c:pt idx="7">
                  <c:v>25.759999999999998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89-1045-9DCE-EEF6E1795AB1}"/>
            </c:ext>
          </c:extLst>
        </c:ser>
        <c:ser>
          <c:idx val="2"/>
          <c:order val="1"/>
          <c:tx>
            <c:v>Inferred BLADJ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12700">
                <a:solidFill>
                  <a:schemeClr val="accent1"/>
                </a:solidFill>
              </a:ln>
              <a:effectLst/>
            </c:spPr>
          </c:marker>
          <c:xVal>
            <c:numRef>
              <c:f>'ete4 (2)'!$B$11:$B$13</c:f>
              <c:numCache>
                <c:formatCode>0</c:formatCode>
                <c:ptCount val="3"/>
                <c:pt idx="0">
                  <c:v>746891</c:v>
                </c:pt>
                <c:pt idx="1">
                  <c:v>2950313</c:v>
                </c:pt>
                <c:pt idx="2">
                  <c:v>4589559</c:v>
                </c:pt>
              </c:numCache>
            </c:numRef>
          </c:xVal>
          <c:yVal>
            <c:numRef>
              <c:f>'ete4 (2)'!$G$11:$G$13</c:f>
              <c:numCache>
                <c:formatCode>0.000000</c:formatCode>
                <c:ptCount val="3"/>
                <c:pt idx="0">
                  <c:v>534.99019584730161</c:v>
                </c:pt>
                <c:pt idx="1">
                  <c:v>8347.7139092888301</c:v>
                </c:pt>
                <c:pt idx="2">
                  <c:v>20201.019375601154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89-1045-9DCE-EEF6E1795AB1}"/>
            </c:ext>
          </c:extLst>
        </c:ser>
        <c:ser>
          <c:idx val="3"/>
          <c:order val="2"/>
          <c:tx>
            <c:v>Quadratic growth trend</c:v>
          </c:tx>
          <c:spPr>
            <a:ln w="12700" cap="rnd">
              <a:solidFill>
                <a:schemeClr val="tx2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'ete4 (2)'!$B$3:$B$13</c:f>
              <c:numCache>
                <c:formatCode>0</c:formatCode>
                <c:ptCount val="11"/>
                <c:pt idx="0">
                  <c:v>685</c:v>
                </c:pt>
                <c:pt idx="1">
                  <c:v>2007</c:v>
                </c:pt>
                <c:pt idx="2">
                  <c:v>4783</c:v>
                </c:pt>
                <c:pt idx="3">
                  <c:v>9069</c:v>
                </c:pt>
                <c:pt idx="4">
                  <c:v>22441</c:v>
                </c:pt>
                <c:pt idx="5">
                  <c:v>40175</c:v>
                </c:pt>
                <c:pt idx="6">
                  <c:v>74731</c:v>
                </c:pt>
                <c:pt idx="7">
                  <c:v>140247</c:v>
                </c:pt>
                <c:pt idx="8">
                  <c:v>746891</c:v>
                </c:pt>
                <c:pt idx="9">
                  <c:v>2950313</c:v>
                </c:pt>
                <c:pt idx="10">
                  <c:v>4589559</c:v>
                </c:pt>
              </c:numCache>
            </c:numRef>
          </c:xVal>
          <c:yVal>
            <c:numRef>
              <c:f>'ete4 (2)'!$J$3:$J$13</c:f>
              <c:numCache>
                <c:formatCode>General</c:formatCode>
                <c:ptCount val="11"/>
                <c:pt idx="0" formatCode="0.000000">
                  <c:v>4.5000000000000004E-4</c:v>
                </c:pt>
                <c:pt idx="1">
                  <c:v>3.863012520645746E-3</c:v>
                </c:pt>
                <c:pt idx="2">
                  <c:v>2.1939773136554961E-2</c:v>
                </c:pt>
                <c:pt idx="3">
                  <c:v>7.8876961905269341E-2</c:v>
                </c:pt>
                <c:pt idx="4">
                  <c:v>0.48296513708775118</c:v>
                </c:pt>
                <c:pt idx="5">
                  <c:v>1.5479008604613995</c:v>
                </c:pt>
                <c:pt idx="6">
                  <c:v>5.3559061483296944</c:v>
                </c:pt>
                <c:pt idx="7">
                  <c:v>18.863337320155583</c:v>
                </c:pt>
                <c:pt idx="8">
                  <c:v>534.99019584730161</c:v>
                </c:pt>
                <c:pt idx="9">
                  <c:v>8347.7139092888301</c:v>
                </c:pt>
                <c:pt idx="10">
                  <c:v>20201.019375601154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89-1045-9DCE-EEF6E1795AB1}"/>
            </c:ext>
          </c:extLst>
        </c:ser>
        <c:ser>
          <c:idx val="1"/>
          <c:order val="3"/>
          <c:tx>
            <c:v>Our implementation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>
                  <a:alpha val="2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'ete4 (2)'!$B$3:$B$13</c:f>
              <c:numCache>
                <c:formatCode>0</c:formatCode>
                <c:ptCount val="11"/>
                <c:pt idx="0">
                  <c:v>685</c:v>
                </c:pt>
                <c:pt idx="1">
                  <c:v>2007</c:v>
                </c:pt>
                <c:pt idx="2">
                  <c:v>4783</c:v>
                </c:pt>
                <c:pt idx="3">
                  <c:v>9069</c:v>
                </c:pt>
                <c:pt idx="4">
                  <c:v>22441</c:v>
                </c:pt>
                <c:pt idx="5">
                  <c:v>40175</c:v>
                </c:pt>
                <c:pt idx="6">
                  <c:v>74731</c:v>
                </c:pt>
                <c:pt idx="7">
                  <c:v>140247</c:v>
                </c:pt>
                <c:pt idx="8">
                  <c:v>746891</c:v>
                </c:pt>
                <c:pt idx="9">
                  <c:v>2950313</c:v>
                </c:pt>
                <c:pt idx="10">
                  <c:v>4589559</c:v>
                </c:pt>
              </c:numCache>
            </c:numRef>
          </c:xVal>
          <c:yVal>
            <c:numRef>
              <c:f>'ete4 (2)'!$H$3:$H$13</c:f>
              <c:numCache>
                <c:formatCode>0.000000</c:formatCode>
                <c:ptCount val="11"/>
                <c:pt idx="0">
                  <c:v>7.9999999999999993E-5</c:v>
                </c:pt>
                <c:pt idx="1">
                  <c:v>2.2000000000000001E-4</c:v>
                </c:pt>
                <c:pt idx="2">
                  <c:v>5.5000000000000003E-4</c:v>
                </c:pt>
                <c:pt idx="3">
                  <c:v>8.516666666666667E-4</c:v>
                </c:pt>
                <c:pt idx="4">
                  <c:v>2E-3</c:v>
                </c:pt>
                <c:pt idx="5">
                  <c:v>3.8500000000000001E-3</c:v>
                </c:pt>
                <c:pt idx="6">
                  <c:v>7.2166666666666664E-3</c:v>
                </c:pt>
                <c:pt idx="7">
                  <c:v>1.3383333333333334E-2</c:v>
                </c:pt>
                <c:pt idx="8">
                  <c:v>7.4666666666666673E-2</c:v>
                </c:pt>
                <c:pt idx="9">
                  <c:v>0.28500000000000003</c:v>
                </c:pt>
                <c:pt idx="10">
                  <c:v>0.44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89-1045-9DCE-EEF6E1795AB1}"/>
            </c:ext>
          </c:extLst>
        </c:ser>
        <c:ser>
          <c:idx val="4"/>
          <c:order val="4"/>
          <c:tx>
            <c:v>Linear growth trend</c:v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'ete4 (2)'!$B$3:$B$13</c:f>
              <c:numCache>
                <c:formatCode>0</c:formatCode>
                <c:ptCount val="11"/>
                <c:pt idx="0">
                  <c:v>685</c:v>
                </c:pt>
                <c:pt idx="1">
                  <c:v>2007</c:v>
                </c:pt>
                <c:pt idx="2">
                  <c:v>4783</c:v>
                </c:pt>
                <c:pt idx="3">
                  <c:v>9069</c:v>
                </c:pt>
                <c:pt idx="4">
                  <c:v>22441</c:v>
                </c:pt>
                <c:pt idx="5">
                  <c:v>40175</c:v>
                </c:pt>
                <c:pt idx="6">
                  <c:v>74731</c:v>
                </c:pt>
                <c:pt idx="7">
                  <c:v>140247</c:v>
                </c:pt>
                <c:pt idx="8">
                  <c:v>746891</c:v>
                </c:pt>
                <c:pt idx="9">
                  <c:v>2950313</c:v>
                </c:pt>
                <c:pt idx="10">
                  <c:v>4589559</c:v>
                </c:pt>
              </c:numCache>
            </c:numRef>
          </c:xVal>
          <c:yVal>
            <c:numRef>
              <c:f>'ete4 (2)'!$K$3:$K$13</c:f>
              <c:numCache>
                <c:formatCode>General</c:formatCode>
                <c:ptCount val="11"/>
                <c:pt idx="0" formatCode="0.000000">
                  <c:v>6.7999999999999986E-5</c:v>
                </c:pt>
                <c:pt idx="1">
                  <c:v>1.9923503649635029E-4</c:v>
                </c:pt>
                <c:pt idx="2">
                  <c:v>4.7480875912408744E-4</c:v>
                </c:pt>
                <c:pt idx="3">
                  <c:v>9.0028029197080273E-4</c:v>
                </c:pt>
                <c:pt idx="4">
                  <c:v>2.2277197080291964E-3</c:v>
                </c:pt>
                <c:pt idx="5">
                  <c:v>3.9881751824817511E-3</c:v>
                </c:pt>
                <c:pt idx="6">
                  <c:v>7.418551824817517E-3</c:v>
                </c:pt>
                <c:pt idx="7">
                  <c:v>1.3922329927007296E-2</c:v>
                </c:pt>
                <c:pt idx="8">
                  <c:v>7.4143924087591226E-2</c:v>
                </c:pt>
                <c:pt idx="9">
                  <c:v>0.29287778686131377</c:v>
                </c:pt>
                <c:pt idx="10">
                  <c:v>0.45560585693430639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89-1045-9DCE-EEF6E1795AB1}"/>
            </c:ext>
          </c:extLst>
        </c:ser>
        <c:ser>
          <c:idx val="5"/>
          <c:order val="5"/>
          <c:tx>
            <c:v>With parsimonious date cleaning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'ete4 (2)'!$B$3:$B$13</c:f>
              <c:numCache>
                <c:formatCode>0</c:formatCode>
                <c:ptCount val="11"/>
                <c:pt idx="0">
                  <c:v>685</c:v>
                </c:pt>
                <c:pt idx="1">
                  <c:v>2007</c:v>
                </c:pt>
                <c:pt idx="2">
                  <c:v>4783</c:v>
                </c:pt>
                <c:pt idx="3">
                  <c:v>9069</c:v>
                </c:pt>
                <c:pt idx="4">
                  <c:v>22441</c:v>
                </c:pt>
                <c:pt idx="5">
                  <c:v>40175</c:v>
                </c:pt>
                <c:pt idx="6">
                  <c:v>74731</c:v>
                </c:pt>
                <c:pt idx="7">
                  <c:v>140247</c:v>
                </c:pt>
                <c:pt idx="8">
                  <c:v>746891</c:v>
                </c:pt>
                <c:pt idx="9">
                  <c:v>2950313</c:v>
                </c:pt>
                <c:pt idx="10">
                  <c:v>4589559</c:v>
                </c:pt>
              </c:numCache>
            </c:numRef>
          </c:xVal>
          <c:yVal>
            <c:numRef>
              <c:f>'ete4 (2)'!$I$3:$I$13</c:f>
              <c:numCache>
                <c:formatCode>0.000000</c:formatCode>
                <c:ptCount val="11"/>
                <c:pt idx="0">
                  <c:v>1.0666666666666667E-4</c:v>
                </c:pt>
                <c:pt idx="1">
                  <c:v>4.3333333333333331E-4</c:v>
                </c:pt>
                <c:pt idx="2">
                  <c:v>5.5000000000000003E-4</c:v>
                </c:pt>
                <c:pt idx="3">
                  <c:v>9.8166666666666671E-4</c:v>
                </c:pt>
                <c:pt idx="4">
                  <c:v>3.7333333333333333E-3</c:v>
                </c:pt>
                <c:pt idx="5">
                  <c:v>4.0000000000000001E-3</c:v>
                </c:pt>
                <c:pt idx="6">
                  <c:v>1.6066666666666667E-2</c:v>
                </c:pt>
                <c:pt idx="7">
                  <c:v>1.3866666666666666E-2</c:v>
                </c:pt>
                <c:pt idx="8">
                  <c:v>0.14899999999999999</c:v>
                </c:pt>
                <c:pt idx="9">
                  <c:v>0.40500000000000003</c:v>
                </c:pt>
                <c:pt idx="10">
                  <c:v>0.84666666666666657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D89-1045-9DCE-EEF6E1795AB1}"/>
            </c:ext>
          </c:extLst>
        </c:ser>
        <c:ser>
          <c:idx val="6"/>
          <c:order val="6"/>
          <c:spPr>
            <a:ln w="127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'ete4 (2)'!$B$3:$B$13</c:f>
              <c:numCache>
                <c:formatCode>0</c:formatCode>
                <c:ptCount val="11"/>
                <c:pt idx="0">
                  <c:v>685</c:v>
                </c:pt>
                <c:pt idx="1">
                  <c:v>2007</c:v>
                </c:pt>
                <c:pt idx="2">
                  <c:v>4783</c:v>
                </c:pt>
                <c:pt idx="3">
                  <c:v>9069</c:v>
                </c:pt>
                <c:pt idx="4">
                  <c:v>22441</c:v>
                </c:pt>
                <c:pt idx="5">
                  <c:v>40175</c:v>
                </c:pt>
                <c:pt idx="6">
                  <c:v>74731</c:v>
                </c:pt>
                <c:pt idx="7">
                  <c:v>140247</c:v>
                </c:pt>
                <c:pt idx="8">
                  <c:v>746891</c:v>
                </c:pt>
                <c:pt idx="9">
                  <c:v>2950313</c:v>
                </c:pt>
                <c:pt idx="10">
                  <c:v>4589559</c:v>
                </c:pt>
              </c:numCache>
            </c:numRef>
          </c:xVal>
          <c:yVal>
            <c:numRef>
              <c:f>'ete4 (2)'!$L$3:$L$13</c:f>
              <c:numCache>
                <c:formatCode>General</c:formatCode>
                <c:ptCount val="11"/>
                <c:pt idx="0" formatCode="0.000000">
                  <c:v>1.0666666666666667E-4</c:v>
                </c:pt>
                <c:pt idx="1">
                  <c:v>3.1252554744525549E-4</c:v>
                </c:pt>
                <c:pt idx="2">
                  <c:v>7.4479805352798052E-4</c:v>
                </c:pt>
                <c:pt idx="3">
                  <c:v>1.4122043795620437E-3</c:v>
                </c:pt>
                <c:pt idx="4">
                  <c:v>3.4944622871046225E-3</c:v>
                </c:pt>
                <c:pt idx="5">
                  <c:v>6.2559610705596102E-3</c:v>
                </c:pt>
                <c:pt idx="6">
                  <c:v>1.1636944038929439E-2</c:v>
                </c:pt>
                <c:pt idx="7">
                  <c:v>2.1838948905109488E-2</c:v>
                </c:pt>
                <c:pt idx="8">
                  <c:v>0.11630419464720193</c:v>
                </c:pt>
                <c:pt idx="9">
                  <c:v>0.45941613625304129</c:v>
                </c:pt>
                <c:pt idx="10">
                  <c:v>0.71467585401459843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D89-1045-9DCE-EEF6E1795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748992"/>
        <c:axId val="408750720"/>
      </c:scatterChart>
      <c:valAx>
        <c:axId val="408748992"/>
        <c:scaling>
          <c:logBase val="10"/>
          <c:orientation val="minMax"/>
          <c:min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Number of nodes</a:t>
                </a:r>
                <a:r>
                  <a:rPr lang="en-GB" sz="1050" baseline="0"/>
                  <a:t> (</a:t>
                </a:r>
                <a:r>
                  <a:rPr lang="en-GB" sz="1050"/>
                  <a:t>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50720"/>
        <c:crossesAt val="1.0000000000000001E-5"/>
        <c:crossBetween val="midCat"/>
      </c:valAx>
      <c:valAx>
        <c:axId val="408750720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Run time (minutes,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100]#,###;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48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706442156328573"/>
          <c:y val="6.4926574076720325E-2"/>
          <c:w val="0.30341880281011069"/>
          <c:h val="0.274469614098253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3</xdr:row>
      <xdr:rowOff>152400</xdr:rowOff>
    </xdr:from>
    <xdr:to>
      <xdr:col>14</xdr:col>
      <xdr:colOff>736600</xdr:colOff>
      <xdr:row>29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2B25D1-9018-9CC4-FA72-CD1964932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406400</xdr:colOff>
      <xdr:row>16</xdr:row>
      <xdr:rowOff>6350</xdr:rowOff>
    </xdr:from>
    <xdr:to>
      <xdr:col>15</xdr:col>
      <xdr:colOff>800100</xdr:colOff>
      <xdr:row>44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A4DDFD-6FFF-4A35-BF4B-E14560071B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0.88397</cdr:x>
      <cdr:y>0.04742</cdr:y>
    </cdr:from>
    <cdr:to>
      <cdr:x>0.97637</cdr:x>
      <cdr:y>0.09037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F49876E-A9DA-1764-17C7-46BAD4891A20}"/>
            </a:ext>
          </a:extLst>
        </cdr:cNvPr>
        <cdr:cNvSpPr txBox="1"/>
      </cdr:nvSpPr>
      <cdr:spPr>
        <a:xfrm xmlns:a="http://schemas.openxmlformats.org/drawingml/2006/main">
          <a:off x="6176433" y="268817"/>
          <a:ext cx="645584" cy="2434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000" kern="1200"/>
            <a:t>20 days</a:t>
          </a:r>
        </a:p>
      </cdr:txBody>
    </cdr:sp>
  </cdr:relSizeAnchor>
  <cdr:relSizeAnchor xmlns:cdr="http://schemas.openxmlformats.org/drawingml/2006/chartDrawing">
    <cdr:from>
      <cdr:x>0.88276</cdr:x>
      <cdr:y>0.51867</cdr:y>
    </cdr:from>
    <cdr:to>
      <cdr:x>0.99303</cdr:x>
      <cdr:y>0.5646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87C88739-AAA2-E2B5-DE76-2ECA88C99466}"/>
            </a:ext>
          </a:extLst>
        </cdr:cNvPr>
        <cdr:cNvSpPr txBox="1"/>
      </cdr:nvSpPr>
      <cdr:spPr>
        <a:xfrm xmlns:a="http://schemas.openxmlformats.org/drawingml/2006/main">
          <a:off x="6167965" y="2940048"/>
          <a:ext cx="770467" cy="2603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 kern="1200"/>
            <a:t>25 seconds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406400</xdr:colOff>
      <xdr:row>17</xdr:row>
      <xdr:rowOff>6350</xdr:rowOff>
    </xdr:from>
    <xdr:to>
      <xdr:col>21</xdr:col>
      <xdr:colOff>800100</xdr:colOff>
      <xdr:row>45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228592-BFF3-034C-BE19-E22060B30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0.87791</cdr:x>
      <cdr:y>0.04369</cdr:y>
    </cdr:from>
    <cdr:to>
      <cdr:x>0.97031</cdr:x>
      <cdr:y>0.08664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F49876E-A9DA-1764-17C7-46BAD4891A20}"/>
            </a:ext>
          </a:extLst>
        </cdr:cNvPr>
        <cdr:cNvSpPr txBox="1"/>
      </cdr:nvSpPr>
      <cdr:spPr>
        <a:xfrm xmlns:a="http://schemas.openxmlformats.org/drawingml/2006/main">
          <a:off x="6134069" y="247631"/>
          <a:ext cx="645609" cy="2434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000" kern="1200"/>
            <a:t>20 days</a:t>
          </a:r>
        </a:p>
      </cdr:txBody>
    </cdr:sp>
  </cdr:relSizeAnchor>
  <cdr:relSizeAnchor xmlns:cdr="http://schemas.openxmlformats.org/drawingml/2006/chartDrawing">
    <cdr:from>
      <cdr:x>0.87367</cdr:x>
      <cdr:y>0.47759</cdr:y>
    </cdr:from>
    <cdr:to>
      <cdr:x>0.98394</cdr:x>
      <cdr:y>0.52352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87C88739-AAA2-E2B5-DE76-2ECA88C99466}"/>
            </a:ext>
          </a:extLst>
        </cdr:cNvPr>
        <cdr:cNvSpPr txBox="1"/>
      </cdr:nvSpPr>
      <cdr:spPr>
        <a:xfrm xmlns:a="http://schemas.openxmlformats.org/drawingml/2006/main">
          <a:off x="6104447" y="2707212"/>
          <a:ext cx="770470" cy="2603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 kern="1200"/>
            <a:t>22 seconds</a:t>
          </a:r>
        </a:p>
      </cdr:txBody>
    </cdr:sp>
  </cdr:relSizeAnchor>
  <cdr:relSizeAnchor xmlns:cdr="http://schemas.openxmlformats.org/drawingml/2006/chartDrawing">
    <cdr:from>
      <cdr:x>0.87367</cdr:x>
      <cdr:y>0.45519</cdr:y>
    </cdr:from>
    <cdr:to>
      <cdr:x>0.98394</cdr:x>
      <cdr:y>0.50112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9C877323-57B6-4350-9563-9D2F7F1D1DDA}"/>
            </a:ext>
          </a:extLst>
        </cdr:cNvPr>
        <cdr:cNvSpPr txBox="1"/>
      </cdr:nvSpPr>
      <cdr:spPr>
        <a:xfrm xmlns:a="http://schemas.openxmlformats.org/drawingml/2006/main">
          <a:off x="6104467" y="2580216"/>
          <a:ext cx="770470" cy="2603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 kern="1200"/>
            <a:t>30 seconds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406400</xdr:colOff>
      <xdr:row>17</xdr:row>
      <xdr:rowOff>6350</xdr:rowOff>
    </xdr:from>
    <xdr:to>
      <xdr:col>21</xdr:col>
      <xdr:colOff>800100</xdr:colOff>
      <xdr:row>45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F1274C-F403-B74E-8B80-7E4C9CFD0D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464127</xdr:colOff>
      <xdr:row>19</xdr:row>
      <xdr:rowOff>6350</xdr:rowOff>
    </xdr:from>
    <xdr:to>
      <xdr:col>21</xdr:col>
      <xdr:colOff>26554</xdr:colOff>
      <xdr:row>47</xdr:row>
      <xdr:rowOff>44449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EF5AF7-7D30-F546-9563-BF0053B92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EE708-1CEB-4946-A1E4-B266B3B8443F}">
  <dimension ref="C3:E10"/>
  <sheetViews>
    <sheetView workbookViewId="0">
      <selection activeCell="C15" sqref="C15"/>
    </sheetView>
  </sheetViews>
  <sheetFormatPr baseColWidth="10" defaultRowHeight="16" x14ac:dyDescent="0.2"/>
  <cols>
    <col min="3" max="3" width="13" bestFit="1" customWidth="1"/>
    <col min="4" max="4" width="15.1640625" customWidth="1"/>
  </cols>
  <sheetData>
    <row r="3" spans="3:5" x14ac:dyDescent="0.2">
      <c r="D3" t="s">
        <v>3</v>
      </c>
    </row>
    <row r="4" spans="3:5" x14ac:dyDescent="0.2">
      <c r="C4" t="s">
        <v>0</v>
      </c>
      <c r="D4" t="s">
        <v>1</v>
      </c>
      <c r="E4" t="s">
        <v>2</v>
      </c>
    </row>
    <row r="5" spans="3:5" x14ac:dyDescent="0.2">
      <c r="C5" s="1">
        <v>500</v>
      </c>
      <c r="D5" s="2">
        <f>C5^2/10000</f>
        <v>25</v>
      </c>
      <c r="E5" s="2">
        <f>C5/20</f>
        <v>25</v>
      </c>
    </row>
    <row r="6" spans="3:5" x14ac:dyDescent="0.2">
      <c r="C6" s="1">
        <v>5000</v>
      </c>
      <c r="D6" s="2">
        <f t="shared" ref="D6:D9" si="0">C6^2/10000</f>
        <v>2500</v>
      </c>
      <c r="E6" s="2">
        <f t="shared" ref="E6:E9" si="1">C6/20</f>
        <v>250</v>
      </c>
    </row>
    <row r="7" spans="3:5" x14ac:dyDescent="0.2">
      <c r="C7" s="1">
        <v>50000</v>
      </c>
      <c r="D7" s="2">
        <f t="shared" si="0"/>
        <v>250000</v>
      </c>
      <c r="E7" s="2">
        <f t="shared" si="1"/>
        <v>2500</v>
      </c>
    </row>
    <row r="8" spans="3:5" x14ac:dyDescent="0.2">
      <c r="C8" s="1">
        <v>500000</v>
      </c>
      <c r="D8" s="2">
        <f t="shared" si="0"/>
        <v>25000000</v>
      </c>
      <c r="E8" s="2">
        <f t="shared" si="1"/>
        <v>25000</v>
      </c>
    </row>
    <row r="9" spans="3:5" x14ac:dyDescent="0.2">
      <c r="C9" s="1">
        <v>5000000</v>
      </c>
      <c r="D9" s="2">
        <f t="shared" si="0"/>
        <v>2500000000</v>
      </c>
      <c r="E9" s="2">
        <f t="shared" si="1"/>
        <v>250000</v>
      </c>
    </row>
    <row r="10" spans="3:5" x14ac:dyDescent="0.2">
      <c r="E10" s="2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8A27-A9C0-6E4B-8A0B-FA10FB1DF5AC}">
  <dimension ref="A1:P40"/>
  <sheetViews>
    <sheetView zoomScale="120" zoomScaleNormal="120" workbookViewId="0">
      <selection activeCell="F46" sqref="F46"/>
    </sheetView>
  </sheetViews>
  <sheetFormatPr baseColWidth="10" defaultRowHeight="16" x14ac:dyDescent="0.2"/>
  <cols>
    <col min="1" max="1" width="24.83203125" bestFit="1" customWidth="1"/>
    <col min="6" max="6" width="12.1640625" bestFit="1" customWidth="1"/>
    <col min="12" max="12" width="10.6640625" customWidth="1"/>
  </cols>
  <sheetData>
    <row r="1" spans="1:16" x14ac:dyDescent="0.2">
      <c r="A1" t="s">
        <v>6</v>
      </c>
      <c r="B1" t="s">
        <v>5</v>
      </c>
      <c r="C1" t="s">
        <v>7</v>
      </c>
      <c r="D1" t="s">
        <v>8</v>
      </c>
    </row>
    <row r="2" spans="1:16" x14ac:dyDescent="0.2">
      <c r="A2" t="s">
        <v>4</v>
      </c>
      <c r="B2">
        <v>1020</v>
      </c>
      <c r="C2">
        <v>2.8333333333333335E-4</v>
      </c>
      <c r="D2">
        <v>1.0333333333333333E-4</v>
      </c>
      <c r="E2">
        <f>C2*2</f>
        <v>5.6666666666666671E-4</v>
      </c>
      <c r="F2">
        <v>1E-4</v>
      </c>
    </row>
    <row r="3" spans="1:16" x14ac:dyDescent="0.2">
      <c r="A3" t="s">
        <v>9</v>
      </c>
      <c r="B3">
        <v>2792</v>
      </c>
      <c r="C3">
        <v>2.1383333333333337E-3</v>
      </c>
      <c r="D3">
        <v>2.216666666666667E-4</v>
      </c>
      <c r="E3">
        <f>E2*B3^2/B2^2</f>
        <v>4.2457864923747275E-3</v>
      </c>
      <c r="F3">
        <f>F2*B3/B2</f>
        <v>2.7372549019607844E-4</v>
      </c>
      <c r="G3" s="3">
        <f>B3^2/B2^2</f>
        <v>7.4925643983083425</v>
      </c>
      <c r="H3" s="3">
        <f>C3/C2</f>
        <v>7.5470588235294125</v>
      </c>
      <c r="I3" s="3">
        <f>B3/B2</f>
        <v>2.7372549019607844</v>
      </c>
      <c r="J3" s="3">
        <f>D3/D2</f>
        <v>2.145161290322581</v>
      </c>
      <c r="L3" s="4">
        <f>G3*C2</f>
        <v>2.1228932461873637E-3</v>
      </c>
    </row>
    <row r="4" spans="1:16" x14ac:dyDescent="0.2">
      <c r="A4" t="s">
        <v>18</v>
      </c>
      <c r="B4">
        <v>5651</v>
      </c>
      <c r="C4">
        <v>2.725E-2</v>
      </c>
      <c r="D4">
        <v>4.8333333333333334E-4</v>
      </c>
      <c r="E4">
        <f t="shared" ref="E4:E12" si="0">E3*B4^2/B3^2</f>
        <v>1.7393137799564268E-2</v>
      </c>
      <c r="F4">
        <f t="shared" ref="F4:F12" si="1">F3*B4/B3</f>
        <v>5.5401960784313726E-4</v>
      </c>
      <c r="G4" s="3"/>
      <c r="H4" s="3"/>
      <c r="I4" s="3"/>
      <c r="J4" s="3"/>
      <c r="L4" s="4"/>
    </row>
    <row r="5" spans="1:16" x14ac:dyDescent="0.2">
      <c r="A5" t="s">
        <v>17</v>
      </c>
      <c r="B5">
        <v>9185</v>
      </c>
      <c r="C5">
        <v>6.8999999999999992E-2</v>
      </c>
      <c r="D5">
        <v>7.983333333333333E-4</v>
      </c>
      <c r="E5">
        <f t="shared" si="0"/>
        <v>4.5950013616557733E-2</v>
      </c>
      <c r="F5">
        <f t="shared" si="1"/>
        <v>9.0049019607843137E-4</v>
      </c>
      <c r="G5" s="3"/>
      <c r="H5" s="3"/>
      <c r="I5" s="3"/>
      <c r="J5" s="3"/>
      <c r="L5" s="4"/>
    </row>
    <row r="6" spans="1:16" x14ac:dyDescent="0.2">
      <c r="A6" t="s">
        <v>10</v>
      </c>
      <c r="B6">
        <v>20094</v>
      </c>
      <c r="C6">
        <v>0.32294999999999996</v>
      </c>
      <c r="D6">
        <v>1.665E-3</v>
      </c>
      <c r="E6">
        <f t="shared" si="0"/>
        <v>0.21991766666666668</v>
      </c>
      <c r="F6">
        <f t="shared" si="1"/>
        <v>1.97E-3</v>
      </c>
      <c r="G6" s="3">
        <f>B6^2/B3^2</f>
        <v>51.796685269414866</v>
      </c>
      <c r="H6" s="3">
        <f>C6/C3</f>
        <v>151.02883865939199</v>
      </c>
      <c r="I6" s="3">
        <f>B6/B3</f>
        <v>7.1969914040114613</v>
      </c>
      <c r="J6" s="3">
        <f>D6/D3</f>
        <v>7.5112781954887211</v>
      </c>
      <c r="L6" s="4">
        <f>G6*C3</f>
        <v>0.11075857866776548</v>
      </c>
    </row>
    <row r="7" spans="1:16" x14ac:dyDescent="0.2">
      <c r="A7" t="s">
        <v>11</v>
      </c>
      <c r="B7">
        <v>34743</v>
      </c>
      <c r="C7">
        <v>1.1041333333333334</v>
      </c>
      <c r="D7">
        <v>2.8666666666666662E-3</v>
      </c>
      <c r="E7">
        <f t="shared" si="0"/>
        <v>0.65744882843137253</v>
      </c>
      <c r="F7">
        <f t="shared" si="1"/>
        <v>3.406176470588235E-3</v>
      </c>
      <c r="G7" s="3">
        <f>B7^2/B6^2</f>
        <v>2.9895225717717353</v>
      </c>
      <c r="H7" s="3">
        <f>C7/C6</f>
        <v>3.4188986943283282</v>
      </c>
      <c r="I7" s="3">
        <f t="shared" ref="I7:I12" si="2">B7/B6</f>
        <v>1.7290235891310839</v>
      </c>
      <c r="J7" s="3">
        <f t="shared" ref="J7:J12" si="3">D7/D6</f>
        <v>1.7217217217217213</v>
      </c>
      <c r="L7" s="4">
        <f>G7*C6</f>
        <v>0.96546631455368181</v>
      </c>
    </row>
    <row r="8" spans="1:16" x14ac:dyDescent="0.2">
      <c r="A8" t="s">
        <v>12</v>
      </c>
      <c r="B8">
        <v>77626</v>
      </c>
      <c r="C8">
        <v>5.9398</v>
      </c>
      <c r="D8">
        <v>6.5166666666666671E-3</v>
      </c>
      <c r="E8">
        <f t="shared" si="0"/>
        <v>3.2820238976034859</v>
      </c>
      <c r="F8">
        <f t="shared" si="1"/>
        <v>7.6103921568627438E-3</v>
      </c>
      <c r="G8" s="3">
        <f>B8^2/B7^2</f>
        <v>4.9920598465954651</v>
      </c>
      <c r="H8" s="3">
        <f>C8/C7</f>
        <v>5.3796039125709454</v>
      </c>
      <c r="I8" s="3">
        <f t="shared" si="2"/>
        <v>2.2342917997870075</v>
      </c>
      <c r="J8" s="3">
        <f t="shared" si="3"/>
        <v>2.2732558139534889</v>
      </c>
      <c r="L8" s="4">
        <f>G8*C7</f>
        <v>5.5118996786209395</v>
      </c>
    </row>
    <row r="9" spans="1:16" x14ac:dyDescent="0.2">
      <c r="A9" t="s">
        <v>13</v>
      </c>
      <c r="B9">
        <v>149037</v>
      </c>
      <c r="C9">
        <v>29.123100000000001</v>
      </c>
      <c r="D9">
        <v>1.1833333333333333E-2</v>
      </c>
      <c r="E9">
        <f t="shared" si="0"/>
        <v>12.098054122549021</v>
      </c>
      <c r="F9">
        <f t="shared" si="1"/>
        <v>1.4611470588235292E-2</v>
      </c>
      <c r="G9" s="3">
        <f t="shared" ref="G9:G12" si="4">B9^2/B8^2</f>
        <v>3.6861566216452433</v>
      </c>
      <c r="H9" s="3">
        <f>C9/C8</f>
        <v>4.9030438735310957</v>
      </c>
      <c r="I9" s="3">
        <f t="shared" si="2"/>
        <v>1.9199366191739882</v>
      </c>
      <c r="J9" s="3">
        <f t="shared" si="3"/>
        <v>1.8158567774936059</v>
      </c>
      <c r="L9" s="4">
        <f>G9*C8</f>
        <v>21.895033101248416</v>
      </c>
      <c r="M9">
        <f>L9/1000</f>
        <v>2.1895033101248417E-2</v>
      </c>
      <c r="N9">
        <f>M9/60</f>
        <v>3.649172183541403E-4</v>
      </c>
    </row>
    <row r="10" spans="1:16" x14ac:dyDescent="0.2">
      <c r="A10" t="s">
        <v>14</v>
      </c>
      <c r="B10">
        <v>746762</v>
      </c>
      <c r="C10">
        <v>767.72047077372133</v>
      </c>
      <c r="D10">
        <v>6.183333333333333E-2</v>
      </c>
      <c r="E10">
        <f t="shared" si="0"/>
        <v>303.73283477342051</v>
      </c>
      <c r="F10">
        <f t="shared" si="1"/>
        <v>7.3211960784313718E-2</v>
      </c>
      <c r="G10" s="3">
        <f t="shared" si="4"/>
        <v>25.105924613720028</v>
      </c>
      <c r="I10" s="3">
        <f t="shared" si="2"/>
        <v>5.0105812650549861</v>
      </c>
      <c r="J10" s="3">
        <f t="shared" si="3"/>
        <v>5.225352112676056</v>
      </c>
      <c r="L10">
        <f>C9*(G10*1.05)</f>
        <v>767.72047077372133</v>
      </c>
      <c r="M10">
        <v>43869.741187069783</v>
      </c>
      <c r="N10">
        <v>731.16235311782975</v>
      </c>
      <c r="O10">
        <v>12.186039218630496</v>
      </c>
      <c r="P10">
        <v>0.507751634109604</v>
      </c>
    </row>
    <row r="11" spans="1:16" x14ac:dyDescent="0.2">
      <c r="A11" t="s">
        <v>15</v>
      </c>
      <c r="B11">
        <v>3034423</v>
      </c>
      <c r="C11">
        <v>13310.067033585925</v>
      </c>
      <c r="D11">
        <v>0.26</v>
      </c>
      <c r="E11">
        <f t="shared" si="0"/>
        <v>5015.0996421181917</v>
      </c>
      <c r="F11">
        <f t="shared" si="1"/>
        <v>0.29749245098039212</v>
      </c>
      <c r="G11" s="3">
        <f t="shared" si="4"/>
        <v>16.511549190456709</v>
      </c>
      <c r="I11" s="3">
        <f t="shared" si="2"/>
        <v>4.0634405607141231</v>
      </c>
      <c r="J11" s="3">
        <f t="shared" si="3"/>
        <v>4.2048517520215638</v>
      </c>
      <c r="L11">
        <f t="shared" ref="L11:L12" si="5">C10*(G11*1.05)</f>
        <v>13310.067033585927</v>
      </c>
      <c r="M11">
        <v>724357.38958290732</v>
      </c>
      <c r="N11">
        <v>12072.623159715122</v>
      </c>
      <c r="O11">
        <v>201.21038599525204</v>
      </c>
      <c r="P11">
        <v>8.3837660831355016</v>
      </c>
    </row>
    <row r="12" spans="1:16" x14ac:dyDescent="0.2">
      <c r="A12" t="s">
        <v>16</v>
      </c>
      <c r="B12">
        <v>4698009</v>
      </c>
      <c r="C12">
        <v>33500.013926645348</v>
      </c>
      <c r="D12">
        <v>0.41000000000000003</v>
      </c>
      <c r="E12">
        <f t="shared" si="0"/>
        <v>12021.399000044119</v>
      </c>
      <c r="F12">
        <f t="shared" si="1"/>
        <v>0.46058911764705879</v>
      </c>
      <c r="G12" s="3">
        <f t="shared" si="4"/>
        <v>2.3970409080380155</v>
      </c>
      <c r="I12" s="3">
        <f t="shared" si="2"/>
        <v>1.5482380010960897</v>
      </c>
      <c r="J12" s="3">
        <f t="shared" si="3"/>
        <v>1.5769230769230771</v>
      </c>
      <c r="L12">
        <f t="shared" si="5"/>
        <v>33500.013926645341</v>
      </c>
      <c r="M12">
        <v>1736314.2948698588</v>
      </c>
      <c r="N12">
        <v>28938.571581164313</v>
      </c>
      <c r="O12">
        <v>482.30952635273854</v>
      </c>
      <c r="P12">
        <v>20.096230264697439</v>
      </c>
    </row>
    <row r="20" spans="2:7" x14ac:dyDescent="0.2">
      <c r="B20">
        <v>5000</v>
      </c>
    </row>
    <row r="21" spans="2:7" x14ac:dyDescent="0.2">
      <c r="B21">
        <v>10000</v>
      </c>
    </row>
    <row r="22" spans="2:7" x14ac:dyDescent="0.2">
      <c r="B22">
        <v>20000</v>
      </c>
    </row>
    <row r="23" spans="2:7" x14ac:dyDescent="0.2">
      <c r="B23">
        <v>100000</v>
      </c>
    </row>
    <row r="24" spans="2:7" x14ac:dyDescent="0.2">
      <c r="B24">
        <v>1000000</v>
      </c>
    </row>
    <row r="27" spans="2:7" x14ac:dyDescent="0.2">
      <c r="B27">
        <v>17</v>
      </c>
      <c r="C27">
        <v>6.2</v>
      </c>
      <c r="D27">
        <f>B27/1000/60</f>
        <v>2.8333333333333335E-4</v>
      </c>
      <c r="G27">
        <f t="shared" ref="G27:G37" si="6">C27/1000/60</f>
        <v>1.0333333333333333E-4</v>
      </c>
    </row>
    <row r="28" spans="2:7" x14ac:dyDescent="0.2">
      <c r="B28">
        <v>128.30000000000001</v>
      </c>
      <c r="C28">
        <v>13.3</v>
      </c>
      <c r="D28">
        <f t="shared" ref="D28:D37" si="7">B28/1000/60</f>
        <v>2.1383333333333337E-3</v>
      </c>
      <c r="G28">
        <f t="shared" si="6"/>
        <v>2.216666666666667E-4</v>
      </c>
    </row>
    <row r="29" spans="2:7" x14ac:dyDescent="0.2">
      <c r="B29">
        <v>1635</v>
      </c>
      <c r="C29">
        <v>29</v>
      </c>
      <c r="D29">
        <f t="shared" si="7"/>
        <v>2.725E-2</v>
      </c>
      <c r="G29">
        <f t="shared" si="6"/>
        <v>4.8333333333333334E-4</v>
      </c>
    </row>
    <row r="30" spans="2:7" x14ac:dyDescent="0.2">
      <c r="B30">
        <v>4140</v>
      </c>
      <c r="C30">
        <v>47.9</v>
      </c>
      <c r="D30">
        <f t="shared" si="7"/>
        <v>6.8999999999999992E-2</v>
      </c>
      <c r="G30">
        <f t="shared" si="6"/>
        <v>7.983333333333333E-4</v>
      </c>
    </row>
    <row r="31" spans="2:7" x14ac:dyDescent="0.2">
      <c r="B31">
        <v>19377</v>
      </c>
      <c r="C31">
        <v>99.9</v>
      </c>
      <c r="D31">
        <f t="shared" si="7"/>
        <v>0.32294999999999996</v>
      </c>
      <c r="G31">
        <f t="shared" si="6"/>
        <v>1.665E-3</v>
      </c>
    </row>
    <row r="32" spans="2:7" x14ac:dyDescent="0.2">
      <c r="B32">
        <v>66248</v>
      </c>
      <c r="C32">
        <v>172</v>
      </c>
      <c r="D32">
        <f t="shared" si="7"/>
        <v>1.1041333333333334</v>
      </c>
      <c r="G32">
        <f t="shared" si="6"/>
        <v>2.8666666666666662E-3</v>
      </c>
    </row>
    <row r="33" spans="1:7" x14ac:dyDescent="0.2">
      <c r="B33">
        <v>356388</v>
      </c>
      <c r="C33">
        <v>391</v>
      </c>
      <c r="D33">
        <f t="shared" si="7"/>
        <v>5.9398</v>
      </c>
      <c r="G33">
        <f t="shared" si="6"/>
        <v>6.5166666666666671E-3</v>
      </c>
    </row>
    <row r="34" spans="1:7" x14ac:dyDescent="0.2">
      <c r="B34">
        <v>1747386</v>
      </c>
      <c r="C34">
        <v>710</v>
      </c>
      <c r="D34">
        <f t="shared" si="7"/>
        <v>29.123100000000001</v>
      </c>
      <c r="G34">
        <f t="shared" si="6"/>
        <v>1.1833333333333333E-2</v>
      </c>
    </row>
    <row r="35" spans="1:7" x14ac:dyDescent="0.2">
      <c r="B35">
        <v>46063228.246423274</v>
      </c>
      <c r="C35">
        <v>3710</v>
      </c>
      <c r="D35">
        <f t="shared" si="7"/>
        <v>767.72047077372133</v>
      </c>
      <c r="G35">
        <f t="shared" si="6"/>
        <v>6.183333333333333E-2</v>
      </c>
    </row>
    <row r="36" spans="1:7" x14ac:dyDescent="0.2">
      <c r="B36">
        <v>798604022.01515555</v>
      </c>
      <c r="C36">
        <v>15600</v>
      </c>
      <c r="D36">
        <f t="shared" si="7"/>
        <v>13310.067033585925</v>
      </c>
      <c r="G36">
        <f t="shared" si="6"/>
        <v>0.26</v>
      </c>
    </row>
    <row r="37" spans="1:7" x14ac:dyDescent="0.2">
      <c r="B37">
        <v>2010000835.5987208</v>
      </c>
      <c r="C37">
        <v>24600</v>
      </c>
      <c r="D37">
        <f t="shared" si="7"/>
        <v>33500.013926645348</v>
      </c>
      <c r="G37">
        <f t="shared" si="6"/>
        <v>0.41000000000000003</v>
      </c>
    </row>
    <row r="40" spans="1:7" x14ac:dyDescent="0.2">
      <c r="A40" s="5" t="s">
        <v>19</v>
      </c>
      <c r="B40">
        <v>62590990</v>
      </c>
      <c r="C40">
        <f>B40/1000</f>
        <v>62590.99</v>
      </c>
      <c r="D40">
        <f>C40/60</f>
        <v>1043.1831666666667</v>
      </c>
      <c r="E40">
        <f>D40/60</f>
        <v>17.386386111111111</v>
      </c>
    </row>
  </sheetData>
  <pageMargins left="0.7" right="0.7" top="0.75" bottom="0.75" header="0.3" footer="0.3"/>
  <pageSetup paperSize="9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F593E-0D18-E444-8B47-FFA54C445B10}">
  <dimension ref="A1:V52"/>
  <sheetViews>
    <sheetView zoomScale="80" zoomScaleNormal="80" workbookViewId="0">
      <selection activeCell="A5" sqref="A5"/>
    </sheetView>
  </sheetViews>
  <sheetFormatPr baseColWidth="10" defaultRowHeight="16" x14ac:dyDescent="0.2"/>
  <cols>
    <col min="1" max="1" width="24.83203125" bestFit="1" customWidth="1"/>
    <col min="2" max="2" width="11.6640625" bestFit="1" customWidth="1"/>
    <col min="11" max="11" width="12.1640625" bestFit="1" customWidth="1"/>
    <col min="12" max="12" width="12.1640625" customWidth="1"/>
    <col min="18" max="18" width="10.6640625" customWidth="1"/>
  </cols>
  <sheetData>
    <row r="1" spans="1:22" x14ac:dyDescent="0.2">
      <c r="D1" t="s">
        <v>20</v>
      </c>
      <c r="G1" s="8" t="s">
        <v>21</v>
      </c>
      <c r="H1" s="8"/>
      <c r="I1" s="8"/>
    </row>
    <row r="2" spans="1:22" x14ac:dyDescent="0.2">
      <c r="A2" t="s">
        <v>6</v>
      </c>
      <c r="B2" t="s">
        <v>5</v>
      </c>
      <c r="D2" t="s">
        <v>7</v>
      </c>
      <c r="E2" t="s">
        <v>8</v>
      </c>
      <c r="F2" t="s">
        <v>22</v>
      </c>
      <c r="G2" s="8" t="s">
        <v>7</v>
      </c>
      <c r="H2" s="8" t="s">
        <v>8</v>
      </c>
      <c r="I2" s="8" t="s">
        <v>22</v>
      </c>
    </row>
    <row r="3" spans="1:22" x14ac:dyDescent="0.2">
      <c r="A3" t="s">
        <v>4</v>
      </c>
      <c r="B3" s="4">
        <v>1020</v>
      </c>
      <c r="C3" s="4">
        <f>B3</f>
        <v>1020</v>
      </c>
      <c r="E3">
        <v>5.3800000000000002E-3</v>
      </c>
      <c r="F3">
        <v>5.9199999999999999E-3</v>
      </c>
      <c r="G3" s="9">
        <v>2.8333333333333335E-4</v>
      </c>
      <c r="H3" s="9">
        <f>E3/60</f>
        <v>8.9666666666666673E-5</v>
      </c>
      <c r="I3" s="9">
        <f>F3/60</f>
        <v>9.8666666666666662E-5</v>
      </c>
      <c r="J3">
        <f>G3*3</f>
        <v>8.5000000000000006E-4</v>
      </c>
      <c r="K3" s="7">
        <f>H3</f>
        <v>8.9666666666666673E-5</v>
      </c>
      <c r="L3" s="7">
        <f>I3</f>
        <v>9.8666666666666662E-5</v>
      </c>
    </row>
    <row r="4" spans="1:22" x14ac:dyDescent="0.2">
      <c r="A4" t="s">
        <v>9</v>
      </c>
      <c r="B4" s="4">
        <v>2792</v>
      </c>
      <c r="C4" s="4">
        <f t="shared" ref="C4:C13" si="0">B4</f>
        <v>2792</v>
      </c>
      <c r="E4" s="6">
        <v>1.3599999999999999E-2</v>
      </c>
      <c r="F4" s="6">
        <v>1.44E-2</v>
      </c>
      <c r="G4" s="9">
        <v>2.1383333333333337E-3</v>
      </c>
      <c r="H4" s="9">
        <f t="shared" ref="H4:H13" si="1">E4/60</f>
        <v>2.2666666666666666E-4</v>
      </c>
      <c r="I4" s="9">
        <f t="shared" ref="I4:I13" si="2">F4/60</f>
        <v>2.4000000000000001E-4</v>
      </c>
      <c r="J4">
        <f>J3*B4^2/B3^2</f>
        <v>6.3686797385620912E-3</v>
      </c>
      <c r="K4">
        <f>K3*B4/B3</f>
        <v>2.4544052287581701E-4</v>
      </c>
      <c r="L4">
        <f>L3*C4/C3</f>
        <v>2.7007581699346403E-4</v>
      </c>
      <c r="M4" s="3">
        <f>B4^2/B3^2</f>
        <v>7.4925643983083425</v>
      </c>
      <c r="N4" s="3">
        <f>G4/G3</f>
        <v>7.5470588235294125</v>
      </c>
      <c r="O4" s="3">
        <f>B4/B3</f>
        <v>2.7372549019607844</v>
      </c>
      <c r="P4" s="3">
        <f>H4/H3</f>
        <v>2.527881040892193</v>
      </c>
      <c r="R4" s="4">
        <f>M4*G3</f>
        <v>2.1228932461873637E-3</v>
      </c>
    </row>
    <row r="5" spans="1:22" x14ac:dyDescent="0.2">
      <c r="A5" t="s">
        <v>18</v>
      </c>
      <c r="B5" s="4">
        <v>5651</v>
      </c>
      <c r="C5" s="4">
        <f t="shared" si="0"/>
        <v>5651</v>
      </c>
      <c r="E5" s="6">
        <v>2.52E-2</v>
      </c>
      <c r="F5" s="6">
        <v>2.5899999999999999E-2</v>
      </c>
      <c r="G5" s="9">
        <v>2.725E-2</v>
      </c>
      <c r="H5" s="9">
        <f t="shared" si="1"/>
        <v>4.2000000000000002E-4</v>
      </c>
      <c r="I5" s="9">
        <f t="shared" si="2"/>
        <v>4.3166666666666668E-4</v>
      </c>
      <c r="J5">
        <f t="shared" ref="J5:J13" si="3">J4*B5^2/B4^2</f>
        <v>2.6089706699346404E-2</v>
      </c>
      <c r="K5">
        <f t="shared" ref="K5:K13" si="4">K4*B5/B4</f>
        <v>4.9677091503267973E-4</v>
      </c>
      <c r="L5">
        <f t="shared" ref="L5:L13" si="5">L4*C5/C4</f>
        <v>5.4663267973856201E-4</v>
      </c>
      <c r="M5" s="3"/>
      <c r="N5" s="3"/>
      <c r="O5" s="3"/>
      <c r="P5" s="3"/>
      <c r="R5" s="4"/>
    </row>
    <row r="6" spans="1:22" x14ac:dyDescent="0.2">
      <c r="A6" t="s">
        <v>17</v>
      </c>
      <c r="B6" s="4">
        <v>9185</v>
      </c>
      <c r="C6" s="4">
        <f t="shared" si="0"/>
        <v>9185</v>
      </c>
      <c r="E6" s="6">
        <v>0.04</v>
      </c>
      <c r="F6" s="6">
        <v>0.04</v>
      </c>
      <c r="G6" s="9">
        <v>6.8999999999999992E-2</v>
      </c>
      <c r="H6" s="9">
        <f t="shared" si="1"/>
        <v>6.6666666666666664E-4</v>
      </c>
      <c r="I6" s="9">
        <f t="shared" si="2"/>
        <v>6.6666666666666664E-4</v>
      </c>
      <c r="J6">
        <f t="shared" si="3"/>
        <v>6.89250204248366E-2</v>
      </c>
      <c r="K6">
        <f t="shared" si="4"/>
        <v>8.0743954248366006E-4</v>
      </c>
      <c r="L6">
        <f t="shared" si="5"/>
        <v>8.8848366013071878E-4</v>
      </c>
      <c r="M6" s="3"/>
      <c r="N6" s="3"/>
      <c r="O6" s="3"/>
      <c r="P6" s="3"/>
      <c r="R6" s="4"/>
    </row>
    <row r="7" spans="1:22" x14ac:dyDescent="0.2">
      <c r="A7" t="s">
        <v>10</v>
      </c>
      <c r="B7" s="4">
        <v>20094</v>
      </c>
      <c r="C7" s="4">
        <f t="shared" si="0"/>
        <v>20094</v>
      </c>
      <c r="E7" s="6">
        <v>0.09</v>
      </c>
      <c r="F7" s="6">
        <v>0.13400000000000001</v>
      </c>
      <c r="G7" s="8">
        <v>0.32294999999999996</v>
      </c>
      <c r="H7" s="9">
        <f t="shared" si="1"/>
        <v>1.5E-3</v>
      </c>
      <c r="I7" s="9">
        <f t="shared" si="2"/>
        <v>2.2333333333333333E-3</v>
      </c>
      <c r="J7">
        <f t="shared" si="3"/>
        <v>0.32987650000000002</v>
      </c>
      <c r="K7">
        <f t="shared" si="4"/>
        <v>1.7664333333333331E-3</v>
      </c>
      <c r="L7">
        <f t="shared" si="5"/>
        <v>1.9437333333333329E-3</v>
      </c>
      <c r="M7" s="3">
        <f>B7^2/B4^2</f>
        <v>51.796685269414866</v>
      </c>
      <c r="N7" s="3">
        <f>G7/G4</f>
        <v>151.02883865939199</v>
      </c>
      <c r="O7" s="3">
        <f>B7/B4</f>
        <v>7.1969914040114613</v>
      </c>
      <c r="P7" s="3">
        <f>H7/H4</f>
        <v>6.6176470588235299</v>
      </c>
      <c r="R7" s="4">
        <f>M7*G4</f>
        <v>0.11075857866776548</v>
      </c>
    </row>
    <row r="8" spans="1:22" x14ac:dyDescent="0.2">
      <c r="A8" t="s">
        <v>11</v>
      </c>
      <c r="B8" s="4">
        <v>34743</v>
      </c>
      <c r="C8" s="4">
        <f t="shared" si="0"/>
        <v>34743</v>
      </c>
      <c r="E8" s="6">
        <v>0.153</v>
      </c>
      <c r="F8" s="6">
        <v>0.249</v>
      </c>
      <c r="G8" s="8">
        <v>1.1041333333333334</v>
      </c>
      <c r="H8" s="9">
        <f t="shared" si="1"/>
        <v>2.5499999999999997E-3</v>
      </c>
      <c r="I8" s="9">
        <f t="shared" si="2"/>
        <v>4.15E-3</v>
      </c>
      <c r="J8">
        <f t="shared" si="3"/>
        <v>0.98617324264705886</v>
      </c>
      <c r="K8">
        <f t="shared" si="4"/>
        <v>3.0542049019607839E-3</v>
      </c>
      <c r="L8">
        <f t="shared" si="5"/>
        <v>3.3607607843137246E-3</v>
      </c>
      <c r="M8" s="3">
        <f>B8^2/B7^2</f>
        <v>2.9895225717717353</v>
      </c>
      <c r="N8" s="3">
        <f>G8/G7</f>
        <v>3.4188986943283282</v>
      </c>
      <c r="O8" s="3">
        <f t="shared" ref="O8:O13" si="6">B8/B7</f>
        <v>1.7290235891310839</v>
      </c>
      <c r="P8" s="3">
        <f t="shared" ref="P8:P13" si="7">H8/H7</f>
        <v>1.6999999999999997</v>
      </c>
      <c r="R8" s="4">
        <f>M8*G7</f>
        <v>0.96546631455368181</v>
      </c>
    </row>
    <row r="9" spans="1:22" x14ac:dyDescent="0.2">
      <c r="A9" t="s">
        <v>12</v>
      </c>
      <c r="B9" s="4">
        <v>77626</v>
      </c>
      <c r="C9" s="4">
        <f t="shared" si="0"/>
        <v>77626</v>
      </c>
      <c r="E9" s="6">
        <v>0.34899999999999998</v>
      </c>
      <c r="F9" s="6">
        <v>0.57399999999999995</v>
      </c>
      <c r="G9" s="8">
        <v>5.9398</v>
      </c>
      <c r="H9" s="9">
        <f t="shared" si="1"/>
        <v>5.8166666666666662E-3</v>
      </c>
      <c r="I9" s="9">
        <f t="shared" si="2"/>
        <v>9.566666666666666E-3</v>
      </c>
      <c r="J9">
        <f t="shared" si="3"/>
        <v>4.9230358464052291</v>
      </c>
      <c r="K9">
        <f t="shared" si="4"/>
        <v>6.8239849673202612E-3</v>
      </c>
      <c r="L9">
        <f t="shared" si="5"/>
        <v>7.5089202614379057E-3</v>
      </c>
      <c r="M9" s="3">
        <f>B9^2/B8^2</f>
        <v>4.9920598465954651</v>
      </c>
      <c r="N9" s="3">
        <f>G9/G8</f>
        <v>5.3796039125709454</v>
      </c>
      <c r="O9" s="3">
        <f t="shared" si="6"/>
        <v>2.2342917997870075</v>
      </c>
      <c r="P9" s="3">
        <f t="shared" si="7"/>
        <v>2.2810457516339868</v>
      </c>
      <c r="R9" s="4">
        <f>M9*G8</f>
        <v>5.5118996786209395</v>
      </c>
    </row>
    <row r="10" spans="1:22" x14ac:dyDescent="0.2">
      <c r="A10" t="s">
        <v>13</v>
      </c>
      <c r="B10" s="4">
        <v>149037</v>
      </c>
      <c r="C10" s="4">
        <f t="shared" si="0"/>
        <v>149037</v>
      </c>
      <c r="E10" s="6">
        <v>0.66100000000000003</v>
      </c>
      <c r="F10" s="6">
        <v>0.67600000000000005</v>
      </c>
      <c r="G10" s="8">
        <v>29.123100000000001</v>
      </c>
      <c r="H10" s="9">
        <f t="shared" si="1"/>
        <v>1.1016666666666668E-2</v>
      </c>
      <c r="I10" s="9">
        <f t="shared" si="2"/>
        <v>1.1266666666666668E-2</v>
      </c>
      <c r="J10">
        <f t="shared" si="3"/>
        <v>18.147081183823531</v>
      </c>
      <c r="K10">
        <f t="shared" si="4"/>
        <v>1.3101618627450979E-2</v>
      </c>
      <c r="L10">
        <f t="shared" si="5"/>
        <v>1.4416650980392151E-2</v>
      </c>
      <c r="M10" s="3">
        <f t="shared" ref="M10:M13" si="8">B10^2/B9^2</f>
        <v>3.6861566216452433</v>
      </c>
      <c r="N10" s="3">
        <f>G10/G9</f>
        <v>4.9030438735310957</v>
      </c>
      <c r="O10" s="3">
        <f t="shared" si="6"/>
        <v>1.9199366191739882</v>
      </c>
      <c r="P10" s="3">
        <f t="shared" si="7"/>
        <v>1.8939828080229231</v>
      </c>
      <c r="R10" s="4">
        <f>M10*G9</f>
        <v>21.895033101248416</v>
      </c>
      <c r="S10">
        <f>R10/1000</f>
        <v>2.1895033101248417E-2</v>
      </c>
      <c r="T10">
        <f>S10/60</f>
        <v>3.649172183541403E-4</v>
      </c>
    </row>
    <row r="11" spans="1:22" x14ac:dyDescent="0.2">
      <c r="A11" t="s">
        <v>14</v>
      </c>
      <c r="B11" s="4">
        <v>746762</v>
      </c>
      <c r="C11" s="4">
        <f t="shared" si="0"/>
        <v>746762</v>
      </c>
      <c r="E11" s="6">
        <v>3.33</v>
      </c>
      <c r="F11" s="6">
        <v>3.88</v>
      </c>
      <c r="G11" s="8">
        <v>767.72047077372133</v>
      </c>
      <c r="H11" s="9">
        <f t="shared" si="1"/>
        <v>5.5500000000000001E-2</v>
      </c>
      <c r="I11" s="9">
        <f t="shared" si="2"/>
        <v>6.4666666666666664E-2</v>
      </c>
      <c r="J11">
        <f t="shared" si="3"/>
        <v>455.59925216013073</v>
      </c>
      <c r="K11">
        <f t="shared" si="4"/>
        <v>6.5646724836601306E-2</v>
      </c>
      <c r="L11">
        <f t="shared" si="5"/>
        <v>7.2235801307189512E-2</v>
      </c>
      <c r="M11" s="3">
        <f t="shared" si="8"/>
        <v>25.105924613720028</v>
      </c>
      <c r="O11" s="3">
        <f t="shared" si="6"/>
        <v>5.0105812650549861</v>
      </c>
      <c r="P11" s="3">
        <f t="shared" si="7"/>
        <v>5.0378214826021175</v>
      </c>
      <c r="R11">
        <f>G10*(M11*1.05)</f>
        <v>767.72047077372133</v>
      </c>
      <c r="S11">
        <v>43869.741187069783</v>
      </c>
      <c r="T11">
        <v>731.16235311782975</v>
      </c>
      <c r="U11">
        <v>12.186039218630496</v>
      </c>
      <c r="V11">
        <v>0.507751634109604</v>
      </c>
    </row>
    <row r="12" spans="1:22" x14ac:dyDescent="0.2">
      <c r="A12" t="s">
        <v>15</v>
      </c>
      <c r="B12" s="4">
        <v>3034423</v>
      </c>
      <c r="C12" s="4">
        <f t="shared" si="0"/>
        <v>3034423</v>
      </c>
      <c r="E12" s="6">
        <v>13.9</v>
      </c>
      <c r="F12" s="6">
        <v>16.8</v>
      </c>
      <c r="G12" s="8">
        <v>13310.067033585925</v>
      </c>
      <c r="H12" s="9">
        <f t="shared" si="1"/>
        <v>0.23166666666666666</v>
      </c>
      <c r="I12" s="9">
        <f t="shared" si="2"/>
        <v>0.28000000000000003</v>
      </c>
      <c r="J12">
        <f t="shared" si="3"/>
        <v>7522.6494631772875</v>
      </c>
      <c r="K12">
        <f t="shared" si="4"/>
        <v>0.26675156437908493</v>
      </c>
      <c r="L12">
        <f t="shared" si="5"/>
        <v>0.29352588496732013</v>
      </c>
      <c r="M12" s="3">
        <f t="shared" si="8"/>
        <v>16.511549190456709</v>
      </c>
      <c r="O12" s="3">
        <f t="shared" si="6"/>
        <v>4.0634405607141231</v>
      </c>
      <c r="P12" s="3">
        <f t="shared" si="7"/>
        <v>4.1741741741741736</v>
      </c>
      <c r="R12">
        <f t="shared" ref="R12:R13" si="9">G11*(M12*1.05)</f>
        <v>13310.067033585927</v>
      </c>
      <c r="S12">
        <v>724357.38958290732</v>
      </c>
      <c r="T12">
        <v>12072.623159715122</v>
      </c>
      <c r="U12">
        <v>201.21038599525204</v>
      </c>
      <c r="V12">
        <v>8.3837660831355016</v>
      </c>
    </row>
    <row r="13" spans="1:22" x14ac:dyDescent="0.2">
      <c r="A13" t="s">
        <v>16</v>
      </c>
      <c r="B13" s="4">
        <v>4698009</v>
      </c>
      <c r="C13" s="4">
        <f t="shared" si="0"/>
        <v>4698009</v>
      </c>
      <c r="E13" s="6">
        <v>21.8</v>
      </c>
      <c r="F13" s="6">
        <v>29.6</v>
      </c>
      <c r="G13" s="8">
        <v>33500.013926645348</v>
      </c>
      <c r="H13" s="9">
        <f t="shared" si="1"/>
        <v>0.36333333333333334</v>
      </c>
      <c r="I13" s="9">
        <f t="shared" si="2"/>
        <v>0.49333333333333335</v>
      </c>
      <c r="J13">
        <f t="shared" si="3"/>
        <v>18032.098500066179</v>
      </c>
      <c r="K13">
        <f t="shared" si="4"/>
        <v>0.41299490882352941</v>
      </c>
      <c r="L13">
        <f t="shared" si="5"/>
        <v>0.45444792941176448</v>
      </c>
      <c r="M13" s="3">
        <f t="shared" si="8"/>
        <v>2.3970409080380155</v>
      </c>
      <c r="O13" s="3">
        <f t="shared" si="6"/>
        <v>1.5482380010960897</v>
      </c>
      <c r="P13" s="3">
        <f t="shared" si="7"/>
        <v>1.5683453237410072</v>
      </c>
      <c r="R13">
        <f t="shared" si="9"/>
        <v>33500.013926645341</v>
      </c>
      <c r="S13">
        <v>1736314.2948698588</v>
      </c>
      <c r="T13">
        <v>28938.571581164313</v>
      </c>
      <c r="U13">
        <v>482.30952635273854</v>
      </c>
      <c r="V13">
        <v>20.096230264697439</v>
      </c>
    </row>
    <row r="19" spans="2:13" x14ac:dyDescent="0.2">
      <c r="F19" t="s">
        <v>23</v>
      </c>
    </row>
    <row r="20" spans="2:13" x14ac:dyDescent="0.2">
      <c r="F20">
        <v>9.6799999999999994E-3</v>
      </c>
    </row>
    <row r="21" spans="2:13" x14ac:dyDescent="0.2">
      <c r="B21">
        <v>5000</v>
      </c>
      <c r="F21" s="6">
        <v>2.29E-2</v>
      </c>
    </row>
    <row r="22" spans="2:13" x14ac:dyDescent="0.2">
      <c r="B22">
        <v>10000</v>
      </c>
      <c r="F22" s="6">
        <v>4.2299999999999997E-2</v>
      </c>
    </row>
    <row r="23" spans="2:13" x14ac:dyDescent="0.2">
      <c r="B23">
        <v>20000</v>
      </c>
      <c r="F23" s="6">
        <v>6.8900000000000003E-2</v>
      </c>
    </row>
    <row r="24" spans="2:13" x14ac:dyDescent="0.2">
      <c r="B24">
        <v>100000</v>
      </c>
      <c r="F24" s="6">
        <v>0.20899999999999999</v>
      </c>
    </row>
    <row r="25" spans="2:13" x14ac:dyDescent="0.2">
      <c r="B25">
        <v>1000000</v>
      </c>
      <c r="F25" s="6">
        <v>0.38700000000000001</v>
      </c>
    </row>
    <row r="26" spans="2:13" x14ac:dyDescent="0.2">
      <c r="F26" s="6">
        <v>0.90600000000000003</v>
      </c>
    </row>
    <row r="27" spans="2:13" x14ac:dyDescent="0.2">
      <c r="F27" s="6">
        <v>1.21</v>
      </c>
    </row>
    <row r="28" spans="2:13" x14ac:dyDescent="0.2">
      <c r="B28">
        <v>17</v>
      </c>
      <c r="F28" s="6">
        <v>6.89</v>
      </c>
      <c r="G28">
        <v>6.2</v>
      </c>
      <c r="H28">
        <f>B28/1000/60</f>
        <v>2.8333333333333335E-4</v>
      </c>
      <c r="M28">
        <f t="shared" ref="M28:M38" si="10">G28/1000/60</f>
        <v>1.0333333333333333E-4</v>
      </c>
    </row>
    <row r="29" spans="2:13" x14ac:dyDescent="0.2">
      <c r="B29">
        <v>128.30000000000001</v>
      </c>
      <c r="F29" s="6">
        <v>28.7</v>
      </c>
      <c r="G29">
        <v>13.3</v>
      </c>
      <c r="H29">
        <f t="shared" ref="H29:H38" si="11">B29/1000/60</f>
        <v>2.1383333333333337E-3</v>
      </c>
      <c r="M29">
        <f t="shared" si="10"/>
        <v>2.216666666666667E-4</v>
      </c>
    </row>
    <row r="30" spans="2:13" x14ac:dyDescent="0.2">
      <c r="B30">
        <v>1635</v>
      </c>
      <c r="F30" s="6">
        <v>49.8</v>
      </c>
      <c r="G30">
        <v>29</v>
      </c>
      <c r="H30">
        <f t="shared" si="11"/>
        <v>2.725E-2</v>
      </c>
      <c r="M30">
        <f t="shared" si="10"/>
        <v>4.8333333333333334E-4</v>
      </c>
    </row>
    <row r="31" spans="2:13" x14ac:dyDescent="0.2">
      <c r="B31">
        <v>4140</v>
      </c>
      <c r="G31">
        <v>47.9</v>
      </c>
      <c r="H31">
        <f t="shared" si="11"/>
        <v>6.8999999999999992E-2</v>
      </c>
      <c r="M31">
        <f t="shared" si="10"/>
        <v>7.983333333333333E-4</v>
      </c>
    </row>
    <row r="32" spans="2:13" x14ac:dyDescent="0.2">
      <c r="B32">
        <v>19377</v>
      </c>
      <c r="G32">
        <v>99.9</v>
      </c>
      <c r="H32">
        <f t="shared" si="11"/>
        <v>0.32294999999999996</v>
      </c>
      <c r="M32">
        <f t="shared" si="10"/>
        <v>1.665E-3</v>
      </c>
    </row>
    <row r="33" spans="1:13" x14ac:dyDescent="0.2">
      <c r="B33">
        <v>66248</v>
      </c>
      <c r="G33">
        <v>172</v>
      </c>
      <c r="H33">
        <f t="shared" si="11"/>
        <v>1.1041333333333334</v>
      </c>
      <c r="M33">
        <f t="shared" si="10"/>
        <v>2.8666666666666662E-3</v>
      </c>
    </row>
    <row r="34" spans="1:13" x14ac:dyDescent="0.2">
      <c r="B34">
        <v>356388</v>
      </c>
      <c r="G34">
        <v>391</v>
      </c>
      <c r="H34">
        <f t="shared" si="11"/>
        <v>5.9398</v>
      </c>
      <c r="M34">
        <f t="shared" si="10"/>
        <v>6.5166666666666671E-3</v>
      </c>
    </row>
    <row r="35" spans="1:13" x14ac:dyDescent="0.2">
      <c r="B35">
        <v>1747386</v>
      </c>
      <c r="G35">
        <v>710</v>
      </c>
      <c r="H35">
        <f t="shared" si="11"/>
        <v>29.123100000000001</v>
      </c>
      <c r="M35">
        <f t="shared" si="10"/>
        <v>1.1833333333333333E-2</v>
      </c>
    </row>
    <row r="36" spans="1:13" x14ac:dyDescent="0.2">
      <c r="B36">
        <v>46063228.246423274</v>
      </c>
      <c r="G36">
        <v>3710</v>
      </c>
      <c r="H36">
        <f t="shared" si="11"/>
        <v>767.72047077372133</v>
      </c>
      <c r="M36">
        <f t="shared" si="10"/>
        <v>6.183333333333333E-2</v>
      </c>
    </row>
    <row r="37" spans="1:13" x14ac:dyDescent="0.2">
      <c r="B37">
        <v>798604022.01515555</v>
      </c>
      <c r="G37">
        <v>15600</v>
      </c>
      <c r="H37">
        <f t="shared" si="11"/>
        <v>13310.067033585925</v>
      </c>
      <c r="M37">
        <f t="shared" si="10"/>
        <v>0.26</v>
      </c>
    </row>
    <row r="38" spans="1:13" x14ac:dyDescent="0.2">
      <c r="B38">
        <v>2010000835.5987208</v>
      </c>
      <c r="G38">
        <v>24600</v>
      </c>
      <c r="H38">
        <f t="shared" si="11"/>
        <v>33500.013926645348</v>
      </c>
      <c r="M38">
        <f t="shared" si="10"/>
        <v>0.41000000000000003</v>
      </c>
    </row>
    <row r="41" spans="1:13" x14ac:dyDescent="0.2">
      <c r="A41" s="5" t="s">
        <v>19</v>
      </c>
      <c r="B41">
        <v>62590990</v>
      </c>
      <c r="G41">
        <f>B41/1000</f>
        <v>62590.99</v>
      </c>
      <c r="H41">
        <f>G41/60</f>
        <v>1043.1831666666667</v>
      </c>
      <c r="J41">
        <f>H41/60</f>
        <v>17.386386111111111</v>
      </c>
    </row>
    <row r="44" spans="1:13" x14ac:dyDescent="0.2">
      <c r="C44">
        <f>748481/4688080</f>
        <v>0.15965619187385882</v>
      </c>
      <c r="E44">
        <v>279</v>
      </c>
    </row>
    <row r="45" spans="1:13" x14ac:dyDescent="0.2">
      <c r="E45">
        <v>70</v>
      </c>
    </row>
    <row r="46" spans="1:13" x14ac:dyDescent="0.2">
      <c r="E46">
        <f>E45/E44</f>
        <v>0.25089605734767023</v>
      </c>
    </row>
    <row r="49" spans="3:5" x14ac:dyDescent="0.2">
      <c r="C49">
        <v>1500</v>
      </c>
      <c r="D49">
        <v>2.2000000000000002</v>
      </c>
    </row>
    <row r="50" spans="3:5" x14ac:dyDescent="0.2">
      <c r="C50">
        <v>15000</v>
      </c>
      <c r="D50">
        <v>21.3</v>
      </c>
      <c r="E50">
        <f>D50/D49</f>
        <v>9.6818181818181817</v>
      </c>
    </row>
    <row r="51" spans="3:5" x14ac:dyDescent="0.2">
      <c r="C51">
        <v>150000</v>
      </c>
      <c r="D51">
        <v>254</v>
      </c>
      <c r="E51">
        <f t="shared" ref="E51:E52" si="12">D51/D50</f>
        <v>11.92488262910798</v>
      </c>
    </row>
    <row r="52" spans="3:5" x14ac:dyDescent="0.2">
      <c r="C52">
        <v>1500000</v>
      </c>
      <c r="D52">
        <v>3270</v>
      </c>
      <c r="E52">
        <f t="shared" si="12"/>
        <v>12.874015748031496</v>
      </c>
    </row>
  </sheetData>
  <pageMargins left="0.7" right="0.7" top="0.75" bottom="0.75" header="0.3" footer="0.3"/>
  <pageSetup paperSize="9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EFF7-6AA7-2B42-9E64-5B40B483E328}">
  <dimension ref="A1:D12"/>
  <sheetViews>
    <sheetView workbookViewId="0">
      <selection sqref="A1:D12"/>
    </sheetView>
  </sheetViews>
  <sheetFormatPr baseColWidth="10" defaultRowHeight="16" x14ac:dyDescent="0.2"/>
  <sheetData>
    <row r="1" spans="1:4" x14ac:dyDescent="0.2">
      <c r="A1" t="s">
        <v>5</v>
      </c>
      <c r="B1" s="8" t="s">
        <v>7</v>
      </c>
      <c r="C1" s="8" t="s">
        <v>8</v>
      </c>
      <c r="D1" s="8" t="s">
        <v>22</v>
      </c>
    </row>
    <row r="2" spans="1:4" x14ac:dyDescent="0.2">
      <c r="A2" s="4">
        <v>1020</v>
      </c>
      <c r="B2" s="9">
        <v>2.8333333333333335E-4</v>
      </c>
      <c r="C2" s="9">
        <v>8.9666666666666673E-5</v>
      </c>
      <c r="D2" s="9">
        <v>9.8666666666666662E-5</v>
      </c>
    </row>
    <row r="3" spans="1:4" x14ac:dyDescent="0.2">
      <c r="A3" s="4">
        <v>2792</v>
      </c>
      <c r="B3" s="9">
        <v>2.1383333333333337E-3</v>
      </c>
      <c r="C3" s="9">
        <v>2.2666666666666666E-4</v>
      </c>
      <c r="D3" s="9">
        <v>2.4000000000000001E-4</v>
      </c>
    </row>
    <row r="4" spans="1:4" x14ac:dyDescent="0.2">
      <c r="A4" s="4">
        <v>5651</v>
      </c>
      <c r="B4" s="9">
        <v>2.725E-2</v>
      </c>
      <c r="C4" s="9">
        <v>4.2000000000000002E-4</v>
      </c>
      <c r="D4" s="9">
        <v>4.3166666666666668E-4</v>
      </c>
    </row>
    <row r="5" spans="1:4" x14ac:dyDescent="0.2">
      <c r="A5" s="4">
        <v>9185</v>
      </c>
      <c r="B5" s="9">
        <v>6.8999999999999992E-2</v>
      </c>
      <c r="C5" s="9">
        <v>6.6666666666666664E-4</v>
      </c>
      <c r="D5" s="9">
        <v>6.6666666666666664E-4</v>
      </c>
    </row>
    <row r="6" spans="1:4" x14ac:dyDescent="0.2">
      <c r="A6" s="4">
        <v>20094</v>
      </c>
      <c r="B6" s="8">
        <v>0.32294999999999996</v>
      </c>
      <c r="C6" s="9">
        <v>1.5E-3</v>
      </c>
      <c r="D6" s="9">
        <v>2.2333333333333333E-3</v>
      </c>
    </row>
    <row r="7" spans="1:4" x14ac:dyDescent="0.2">
      <c r="A7" s="4">
        <v>34743</v>
      </c>
      <c r="B7" s="8">
        <v>1.1041333333333334</v>
      </c>
      <c r="C7" s="9">
        <v>2.5499999999999997E-3</v>
      </c>
      <c r="D7" s="9">
        <v>4.15E-3</v>
      </c>
    </row>
    <row r="8" spans="1:4" x14ac:dyDescent="0.2">
      <c r="A8" s="4">
        <v>77626</v>
      </c>
      <c r="B8" s="8">
        <v>5.9398</v>
      </c>
      <c r="C8" s="9">
        <v>5.8166666666666662E-3</v>
      </c>
      <c r="D8" s="9">
        <v>9.566666666666666E-3</v>
      </c>
    </row>
    <row r="9" spans="1:4" x14ac:dyDescent="0.2">
      <c r="A9" s="4">
        <v>149037</v>
      </c>
      <c r="B9" s="8">
        <v>29.123100000000001</v>
      </c>
      <c r="C9" s="9">
        <v>1.1016666666666668E-2</v>
      </c>
      <c r="D9" s="9">
        <v>1.1266666666666668E-2</v>
      </c>
    </row>
    <row r="10" spans="1:4" x14ac:dyDescent="0.2">
      <c r="A10" s="4">
        <v>746762</v>
      </c>
      <c r="B10" s="8">
        <v>0</v>
      </c>
      <c r="C10" s="9">
        <v>5.5500000000000001E-2</v>
      </c>
      <c r="D10" s="9">
        <v>6.4666666666666664E-2</v>
      </c>
    </row>
    <row r="11" spans="1:4" x14ac:dyDescent="0.2">
      <c r="A11" s="4">
        <v>3034423</v>
      </c>
      <c r="B11" s="8">
        <v>0</v>
      </c>
      <c r="C11" s="9">
        <v>0.23166666666666666</v>
      </c>
      <c r="D11" s="9">
        <v>0.28000000000000003</v>
      </c>
    </row>
    <row r="12" spans="1:4" x14ac:dyDescent="0.2">
      <c r="A12" s="4">
        <v>4698009</v>
      </c>
      <c r="B12" s="8">
        <v>0</v>
      </c>
      <c r="C12" s="9">
        <v>0.36333333333333334</v>
      </c>
      <c r="D12" s="9">
        <v>0.49333333333333335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BD1B-0F7F-0D4C-8CBD-64C76C0FA0B8}">
  <dimension ref="A1:V52"/>
  <sheetViews>
    <sheetView zoomScale="110" zoomScaleNormal="110" workbookViewId="0">
      <selection activeCell="B7" sqref="B7"/>
    </sheetView>
  </sheetViews>
  <sheetFormatPr baseColWidth="10" defaultRowHeight="16" x14ac:dyDescent="0.2"/>
  <cols>
    <col min="1" max="1" width="24.83203125" bestFit="1" customWidth="1"/>
    <col min="2" max="2" width="11.6640625" bestFit="1" customWidth="1"/>
    <col min="7" max="7" width="13.6640625" customWidth="1"/>
    <col min="11" max="11" width="12.1640625" bestFit="1" customWidth="1"/>
    <col min="12" max="12" width="12.1640625" customWidth="1"/>
    <col min="18" max="18" width="10.6640625" customWidth="1"/>
  </cols>
  <sheetData>
    <row r="1" spans="1:22" x14ac:dyDescent="0.2">
      <c r="D1" t="s">
        <v>20</v>
      </c>
      <c r="G1" s="8" t="s">
        <v>21</v>
      </c>
      <c r="H1" s="8"/>
      <c r="I1" s="8"/>
    </row>
    <row r="2" spans="1:22" x14ac:dyDescent="0.2">
      <c r="A2" t="s">
        <v>6</v>
      </c>
      <c r="B2" t="s">
        <v>5</v>
      </c>
      <c r="D2" t="s">
        <v>7</v>
      </c>
      <c r="E2" t="s">
        <v>8</v>
      </c>
      <c r="F2" t="s">
        <v>22</v>
      </c>
      <c r="G2" s="8" t="s">
        <v>7</v>
      </c>
      <c r="H2" s="8" t="s">
        <v>8</v>
      </c>
      <c r="I2" s="8" t="s">
        <v>22</v>
      </c>
    </row>
    <row r="3" spans="1:22" x14ac:dyDescent="0.2">
      <c r="A3" t="s">
        <v>4</v>
      </c>
      <c r="B3" s="4">
        <v>685</v>
      </c>
      <c r="C3" s="4">
        <f>B3</f>
        <v>685</v>
      </c>
      <c r="D3">
        <v>1.4999999999999999E-2</v>
      </c>
      <c r="E3">
        <v>4.7999999999999996E-3</v>
      </c>
      <c r="F3" s="10">
        <v>6.4000000000000003E-3</v>
      </c>
      <c r="G3" s="9">
        <f>D3/60</f>
        <v>2.5000000000000001E-4</v>
      </c>
      <c r="H3" s="9">
        <f>E3/60</f>
        <v>7.9999999999999993E-5</v>
      </c>
      <c r="I3" s="9">
        <f>F3/60</f>
        <v>1.0666666666666667E-4</v>
      </c>
      <c r="J3" s="7">
        <f>G3*1.8</f>
        <v>4.5000000000000004E-4</v>
      </c>
      <c r="K3" s="7">
        <f>H3*0.9</f>
        <v>7.2000000000000002E-5</v>
      </c>
      <c r="L3" s="7">
        <f>I3</f>
        <v>1.0666666666666667E-4</v>
      </c>
    </row>
    <row r="4" spans="1:22" x14ac:dyDescent="0.2">
      <c r="A4" t="s">
        <v>24</v>
      </c>
      <c r="B4" s="4">
        <v>2007</v>
      </c>
      <c r="C4" s="4">
        <f t="shared" ref="C4:C13" si="0">B4</f>
        <v>2007</v>
      </c>
      <c r="D4">
        <v>0.104</v>
      </c>
      <c r="E4" s="10">
        <v>1.32E-2</v>
      </c>
      <c r="F4" s="10">
        <v>2.5999999999999999E-2</v>
      </c>
      <c r="G4" s="9">
        <f t="shared" ref="G4:G13" si="1">D4/60</f>
        <v>1.7333333333333333E-3</v>
      </c>
      <c r="H4" s="9">
        <f t="shared" ref="H4:I13" si="2">E4/60</f>
        <v>2.2000000000000001E-4</v>
      </c>
      <c r="I4" s="9">
        <f t="shared" si="2"/>
        <v>4.3333333333333331E-4</v>
      </c>
      <c r="J4">
        <f>J3*B4^2/B3^2</f>
        <v>3.863012520645746E-3</v>
      </c>
      <c r="K4">
        <f>K3*B4/B3</f>
        <v>2.1095474452554743E-4</v>
      </c>
      <c r="L4">
        <f>L3*C4/C3</f>
        <v>3.1252554744525549E-4</v>
      </c>
      <c r="M4" s="3">
        <f>B4^2/B3^2</f>
        <v>8.5844722681016563</v>
      </c>
      <c r="N4" s="3">
        <f>G4/G3</f>
        <v>6.9333333333333327</v>
      </c>
      <c r="O4" s="3">
        <f>B4/B3</f>
        <v>2.9299270072992702</v>
      </c>
      <c r="P4" s="3">
        <f>H4/H3</f>
        <v>2.7500000000000004</v>
      </c>
      <c r="R4" s="4">
        <f>M4*G3</f>
        <v>2.1461180670254141E-3</v>
      </c>
    </row>
    <row r="5" spans="1:22" x14ac:dyDescent="0.2">
      <c r="A5" t="s">
        <v>25</v>
      </c>
      <c r="B5" s="4">
        <v>4783</v>
      </c>
      <c r="C5" s="4">
        <f t="shared" si="0"/>
        <v>4783</v>
      </c>
      <c r="D5">
        <v>1.552</v>
      </c>
      <c r="E5" s="10">
        <v>3.3000000000000002E-2</v>
      </c>
      <c r="F5" s="10">
        <v>3.3000000000000002E-2</v>
      </c>
      <c r="G5" s="9">
        <f t="shared" si="1"/>
        <v>2.5866666666666666E-2</v>
      </c>
      <c r="H5" s="9">
        <f t="shared" si="2"/>
        <v>5.5000000000000003E-4</v>
      </c>
      <c r="I5" s="9">
        <f t="shared" si="2"/>
        <v>5.5000000000000003E-4</v>
      </c>
      <c r="J5">
        <f t="shared" ref="J5:J13" si="3">J4*B5^2/B4^2</f>
        <v>2.1939773136554961E-2</v>
      </c>
      <c r="K5">
        <f t="shared" ref="K5:L13" si="4">K4*B5/B4</f>
        <v>5.0273868613138681E-4</v>
      </c>
      <c r="L5">
        <f t="shared" si="4"/>
        <v>7.4479805352798052E-4</v>
      </c>
      <c r="M5" s="3"/>
      <c r="N5" s="3"/>
      <c r="O5" s="3"/>
      <c r="P5" s="3"/>
      <c r="R5" s="4"/>
    </row>
    <row r="6" spans="1:22" x14ac:dyDescent="0.2">
      <c r="A6" t="s">
        <v>17</v>
      </c>
      <c r="B6" s="4">
        <v>9069</v>
      </c>
      <c r="C6" s="4">
        <f t="shared" si="0"/>
        <v>9069</v>
      </c>
      <c r="D6">
        <v>4.1040000000000001</v>
      </c>
      <c r="E6" s="10">
        <v>5.11E-2</v>
      </c>
      <c r="F6" s="10">
        <v>5.8900000000000001E-2</v>
      </c>
      <c r="G6" s="9">
        <f t="shared" si="1"/>
        <v>6.8400000000000002E-2</v>
      </c>
      <c r="H6" s="9">
        <f t="shared" si="2"/>
        <v>8.516666666666667E-4</v>
      </c>
      <c r="I6" s="9">
        <f t="shared" si="2"/>
        <v>9.8166666666666671E-4</v>
      </c>
      <c r="J6">
        <f t="shared" si="3"/>
        <v>7.8876961905269341E-2</v>
      </c>
      <c r="K6">
        <f t="shared" si="4"/>
        <v>9.5323795620437957E-4</v>
      </c>
      <c r="L6">
        <f t="shared" si="4"/>
        <v>1.4122043795620437E-3</v>
      </c>
      <c r="M6" s="3"/>
      <c r="N6" s="3"/>
      <c r="O6" s="3"/>
      <c r="P6" s="3"/>
      <c r="R6" s="4"/>
    </row>
    <row r="7" spans="1:22" x14ac:dyDescent="0.2">
      <c r="A7" t="s">
        <v>10</v>
      </c>
      <c r="B7" s="4">
        <v>13179</v>
      </c>
      <c r="C7" s="4">
        <f t="shared" si="0"/>
        <v>13179</v>
      </c>
      <c r="D7">
        <v>7.89</v>
      </c>
      <c r="E7" s="10">
        <v>7.0900000000000005E-2</v>
      </c>
      <c r="F7" s="10">
        <v>0.28199999999999997</v>
      </c>
      <c r="G7" s="9">
        <f t="shared" si="1"/>
        <v>0.13150000000000001</v>
      </c>
      <c r="H7" s="9">
        <f t="shared" si="2"/>
        <v>1.1816666666666668E-3</v>
      </c>
      <c r="I7" s="9">
        <f t="shared" si="2"/>
        <v>4.6999999999999993E-3</v>
      </c>
      <c r="J7">
        <f t="shared" si="3"/>
        <v>0.16656980862059781</v>
      </c>
      <c r="K7">
        <f t="shared" si="4"/>
        <v>1.3852379562043797E-3</v>
      </c>
      <c r="L7">
        <f t="shared" si="4"/>
        <v>2.0522043795620439E-3</v>
      </c>
      <c r="M7" s="3">
        <f>B7^2/B4^2</f>
        <v>43.119148004406107</v>
      </c>
      <c r="N7" s="3">
        <f>G7/G4</f>
        <v>75.865384615384627</v>
      </c>
      <c r="O7" s="3">
        <f>B7/B4</f>
        <v>6.5665171898355759</v>
      </c>
      <c r="P7" s="3">
        <f>H7/H4</f>
        <v>5.371212121212122</v>
      </c>
      <c r="R7" s="4">
        <f>M7*G4</f>
        <v>7.4739856540970581E-2</v>
      </c>
    </row>
    <row r="8" spans="1:22" x14ac:dyDescent="0.2">
      <c r="A8" t="s">
        <v>11</v>
      </c>
      <c r="B8" s="4">
        <v>21843</v>
      </c>
      <c r="C8" s="4">
        <f t="shared" si="0"/>
        <v>21843</v>
      </c>
      <c r="D8">
        <v>24.38</v>
      </c>
      <c r="E8" s="10">
        <v>0.115</v>
      </c>
      <c r="F8" s="10">
        <v>0.59699999999999998</v>
      </c>
      <c r="G8" s="9">
        <f t="shared" si="1"/>
        <v>0.40633333333333332</v>
      </c>
      <c r="H8" s="9">
        <f t="shared" si="2"/>
        <v>1.9166666666666668E-3</v>
      </c>
      <c r="I8" s="9">
        <f t="shared" si="2"/>
        <v>9.9499999999999988E-3</v>
      </c>
      <c r="J8">
        <f t="shared" si="3"/>
        <v>0.4575683138153338</v>
      </c>
      <c r="K8">
        <f t="shared" si="4"/>
        <v>2.2959065693430661E-3</v>
      </c>
      <c r="L8">
        <f t="shared" si="4"/>
        <v>3.4013430656934305E-3</v>
      </c>
      <c r="M8" s="3">
        <f>B8^2/B7^2</f>
        <v>2.7470063008690491</v>
      </c>
      <c r="N8" s="3">
        <f>G8/G7</f>
        <v>3.0899873257287704</v>
      </c>
      <c r="O8" s="3">
        <f t="shared" ref="O8:O13" si="5">B8/B7</f>
        <v>1.6574095151377191</v>
      </c>
      <c r="P8" s="3">
        <f t="shared" ref="P8:P13" si="6">H8/H7</f>
        <v>1.622002820874471</v>
      </c>
      <c r="R8" s="4">
        <f>M8*G7</f>
        <v>0.36123132856427997</v>
      </c>
    </row>
    <row r="9" spans="1:22" x14ac:dyDescent="0.2">
      <c r="A9" t="s">
        <v>12</v>
      </c>
      <c r="B9" s="4">
        <v>74731</v>
      </c>
      <c r="C9" s="4">
        <f t="shared" si="0"/>
        <v>74731</v>
      </c>
      <c r="D9">
        <v>324.53899999999999</v>
      </c>
      <c r="E9" s="10">
        <v>0.433</v>
      </c>
      <c r="F9" s="10">
        <v>0.96399999999999997</v>
      </c>
      <c r="G9" s="9">
        <f t="shared" si="1"/>
        <v>5.4089833333333335</v>
      </c>
      <c r="H9" s="9">
        <f t="shared" si="2"/>
        <v>7.2166666666666664E-3</v>
      </c>
      <c r="I9" s="9">
        <f t="shared" si="2"/>
        <v>1.6066666666666667E-2</v>
      </c>
      <c r="J9">
        <f t="shared" si="3"/>
        <v>5.3559061483296926</v>
      </c>
      <c r="K9">
        <f t="shared" si="4"/>
        <v>7.8549372262773729E-3</v>
      </c>
      <c r="L9">
        <f t="shared" si="4"/>
        <v>1.1636944038929439E-2</v>
      </c>
      <c r="M9" s="3">
        <f>B9^2/B8^2</f>
        <v>11.705150873911339</v>
      </c>
      <c r="N9" s="3">
        <f>G9/G8</f>
        <v>13.311689909762102</v>
      </c>
      <c r="O9" s="3">
        <f t="shared" si="5"/>
        <v>3.4212791283248638</v>
      </c>
      <c r="P9" s="3">
        <f t="shared" si="6"/>
        <v>3.7652173913043474</v>
      </c>
      <c r="R9" s="4">
        <f>M9*G8</f>
        <v>4.7561929717659739</v>
      </c>
    </row>
    <row r="10" spans="1:22" x14ac:dyDescent="0.2">
      <c r="A10" t="s">
        <v>13</v>
      </c>
      <c r="B10" s="4">
        <v>140247</v>
      </c>
      <c r="C10" s="4">
        <f t="shared" si="0"/>
        <v>140247</v>
      </c>
      <c r="D10">
        <v>1545.6</v>
      </c>
      <c r="E10" s="10">
        <v>0.80300000000000005</v>
      </c>
      <c r="F10" s="10">
        <v>0.83199999999999996</v>
      </c>
      <c r="G10" s="9">
        <f t="shared" si="1"/>
        <v>25.759999999999998</v>
      </c>
      <c r="H10" s="9">
        <f t="shared" si="2"/>
        <v>1.3383333333333334E-2</v>
      </c>
      <c r="I10" s="9">
        <f t="shared" si="2"/>
        <v>1.3866666666666666E-2</v>
      </c>
      <c r="J10">
        <f t="shared" si="3"/>
        <v>18.863337320155576</v>
      </c>
      <c r="K10">
        <f t="shared" si="4"/>
        <v>1.4741290510948907E-2</v>
      </c>
      <c r="L10">
        <f t="shared" si="4"/>
        <v>2.1838948905109488E-2</v>
      </c>
      <c r="M10" s="3">
        <f t="shared" ref="M10:M13" si="7">B10^2/B9^2</f>
        <v>3.5219693545299235</v>
      </c>
      <c r="N10" s="3">
        <f>G10/G9</f>
        <v>4.7624476565220197</v>
      </c>
      <c r="O10" s="3">
        <f t="shared" si="5"/>
        <v>1.8766910652874977</v>
      </c>
      <c r="P10" s="3">
        <f t="shared" si="6"/>
        <v>1.8545034642032334</v>
      </c>
      <c r="R10" s="4">
        <f>M10*G9</f>
        <v>19.050273539163115</v>
      </c>
      <c r="S10">
        <f>R10/1000</f>
        <v>1.9050273539163116E-2</v>
      </c>
      <c r="T10">
        <f>S10/60</f>
        <v>3.1750455898605192E-4</v>
      </c>
    </row>
    <row r="11" spans="1:22" x14ac:dyDescent="0.2">
      <c r="A11" t="s">
        <v>14</v>
      </c>
      <c r="B11" s="4">
        <v>746891</v>
      </c>
      <c r="C11" s="4">
        <f t="shared" si="0"/>
        <v>746891</v>
      </c>
      <c r="D11">
        <f>J11*60</f>
        <v>32099.411750838084</v>
      </c>
      <c r="E11" s="10">
        <v>4.4800000000000004</v>
      </c>
      <c r="F11" s="10">
        <v>8.94</v>
      </c>
      <c r="G11" s="9">
        <f t="shared" si="1"/>
        <v>534.99019584730138</v>
      </c>
      <c r="H11" s="9">
        <f t="shared" si="2"/>
        <v>7.4666666666666673E-2</v>
      </c>
      <c r="I11" s="9">
        <f t="shared" si="2"/>
        <v>0.14899999999999999</v>
      </c>
      <c r="J11">
        <f t="shared" si="3"/>
        <v>534.99019584730138</v>
      </c>
      <c r="K11">
        <f t="shared" si="4"/>
        <v>7.8505331386861318E-2</v>
      </c>
      <c r="L11">
        <f t="shared" si="4"/>
        <v>0.11630419464720193</v>
      </c>
      <c r="M11" s="3">
        <f t="shared" si="7"/>
        <v>28.361375655179614</v>
      </c>
      <c r="O11" s="3">
        <f t="shared" si="5"/>
        <v>5.3255399402482766</v>
      </c>
      <c r="P11" s="3">
        <f t="shared" si="6"/>
        <v>5.5790784557907847</v>
      </c>
      <c r="R11">
        <f>G10*(M11*1.05)</f>
        <v>767.11848872129815</v>
      </c>
      <c r="S11">
        <v>43869.741187069783</v>
      </c>
      <c r="T11">
        <v>731.16235311782975</v>
      </c>
      <c r="U11">
        <v>12.186039218630496</v>
      </c>
      <c r="V11">
        <v>0.507751634109604</v>
      </c>
    </row>
    <row r="12" spans="1:22" x14ac:dyDescent="0.2">
      <c r="A12" t="s">
        <v>15</v>
      </c>
      <c r="B12" s="4">
        <v>2950313</v>
      </c>
      <c r="C12" s="4">
        <f t="shared" si="0"/>
        <v>2950313</v>
      </c>
      <c r="D12">
        <f t="shared" ref="D12:D13" si="8">J12*60</f>
        <v>500862.8345573296</v>
      </c>
      <c r="E12" s="10">
        <v>17.100000000000001</v>
      </c>
      <c r="F12" s="10">
        <v>24.3</v>
      </c>
      <c r="G12" s="9">
        <f t="shared" si="1"/>
        <v>8347.7139092888265</v>
      </c>
      <c r="H12" s="9">
        <f t="shared" si="2"/>
        <v>0.28500000000000003</v>
      </c>
      <c r="I12" s="9">
        <f t="shared" si="2"/>
        <v>0.40500000000000003</v>
      </c>
      <c r="J12">
        <f t="shared" si="3"/>
        <v>8347.7139092888265</v>
      </c>
      <c r="K12">
        <f t="shared" si="4"/>
        <v>0.31010589197080296</v>
      </c>
      <c r="L12">
        <f t="shared" si="4"/>
        <v>0.45941613625304129</v>
      </c>
      <c r="M12" s="3">
        <f t="shared" si="7"/>
        <v>15.60348951080864</v>
      </c>
      <c r="O12" s="3">
        <f t="shared" si="5"/>
        <v>3.9501252525468908</v>
      </c>
      <c r="P12" s="3">
        <f t="shared" si="6"/>
        <v>3.816964285714286</v>
      </c>
      <c r="R12">
        <f t="shared" ref="R12:R13" si="9">G11*(M12*1.05)</f>
        <v>8765.0996047532699</v>
      </c>
      <c r="S12">
        <v>724357.38958290732</v>
      </c>
      <c r="T12">
        <v>12072.623159715122</v>
      </c>
      <c r="U12">
        <v>201.21038599525204</v>
      </c>
      <c r="V12">
        <v>8.3837660831355016</v>
      </c>
    </row>
    <row r="13" spans="1:22" x14ac:dyDescent="0.2">
      <c r="A13" t="s">
        <v>16</v>
      </c>
      <c r="B13" s="4">
        <v>4589559</v>
      </c>
      <c r="C13" s="4">
        <f t="shared" si="0"/>
        <v>4589559</v>
      </c>
      <c r="D13">
        <f t="shared" si="8"/>
        <v>1212061.1625360688</v>
      </c>
      <c r="E13" s="10">
        <v>26.4</v>
      </c>
      <c r="F13" s="10">
        <v>50.8</v>
      </c>
      <c r="G13" s="9">
        <f t="shared" si="1"/>
        <v>20201.019375601147</v>
      </c>
      <c r="H13" s="9">
        <f t="shared" si="2"/>
        <v>0.44</v>
      </c>
      <c r="I13" s="9">
        <f t="shared" si="2"/>
        <v>0.84666666666666657</v>
      </c>
      <c r="J13">
        <f t="shared" si="3"/>
        <v>20201.019375601147</v>
      </c>
      <c r="K13">
        <f t="shared" si="4"/>
        <v>0.48240620145985408</v>
      </c>
      <c r="L13">
        <f t="shared" si="4"/>
        <v>0.71467585401459843</v>
      </c>
      <c r="M13" s="3">
        <f t="shared" si="7"/>
        <v>2.4199462984857072</v>
      </c>
      <c r="O13" s="3">
        <f t="shared" si="5"/>
        <v>1.5556176581942323</v>
      </c>
      <c r="P13" s="3">
        <f t="shared" si="6"/>
        <v>1.5438596491228069</v>
      </c>
      <c r="R13">
        <f t="shared" si="9"/>
        <v>21211.070344381205</v>
      </c>
      <c r="S13">
        <v>1736314.2948698588</v>
      </c>
      <c r="T13">
        <v>28938.571581164313</v>
      </c>
      <c r="U13">
        <v>482.30952635273854</v>
      </c>
      <c r="V13">
        <v>20.096230264697439</v>
      </c>
    </row>
    <row r="19" spans="2:13" x14ac:dyDescent="0.2">
      <c r="F19" t="s">
        <v>23</v>
      </c>
    </row>
    <row r="20" spans="2:13" x14ac:dyDescent="0.2">
      <c r="F20">
        <v>9.6799999999999994E-3</v>
      </c>
    </row>
    <row r="21" spans="2:13" x14ac:dyDescent="0.2">
      <c r="B21">
        <v>5000</v>
      </c>
      <c r="F21" s="6">
        <v>2.29E-2</v>
      </c>
    </row>
    <row r="22" spans="2:13" x14ac:dyDescent="0.2">
      <c r="B22">
        <v>10000</v>
      </c>
      <c r="F22" s="6">
        <v>4.2299999999999997E-2</v>
      </c>
    </row>
    <row r="23" spans="2:13" x14ac:dyDescent="0.2">
      <c r="B23">
        <v>20000</v>
      </c>
      <c r="F23" s="6">
        <v>6.8900000000000003E-2</v>
      </c>
    </row>
    <row r="24" spans="2:13" x14ac:dyDescent="0.2">
      <c r="B24">
        <v>100000</v>
      </c>
      <c r="F24" s="6">
        <v>0.20899999999999999</v>
      </c>
    </row>
    <row r="25" spans="2:13" x14ac:dyDescent="0.2">
      <c r="B25">
        <v>1000000</v>
      </c>
      <c r="F25" s="6">
        <v>0.38700000000000001</v>
      </c>
    </row>
    <row r="26" spans="2:13" x14ac:dyDescent="0.2">
      <c r="F26" s="6">
        <v>0.90600000000000003</v>
      </c>
    </row>
    <row r="27" spans="2:13" x14ac:dyDescent="0.2">
      <c r="F27" s="6">
        <v>1.21</v>
      </c>
    </row>
    <row r="28" spans="2:13" x14ac:dyDescent="0.2">
      <c r="B28">
        <v>17</v>
      </c>
      <c r="F28" s="6">
        <v>6.89</v>
      </c>
      <c r="G28">
        <v>6.2</v>
      </c>
      <c r="H28">
        <f>B28/1000/60</f>
        <v>2.8333333333333335E-4</v>
      </c>
      <c r="M28">
        <f t="shared" ref="M28:M38" si="10">G28/1000/60</f>
        <v>1.0333333333333333E-4</v>
      </c>
    </row>
    <row r="29" spans="2:13" x14ac:dyDescent="0.2">
      <c r="B29">
        <v>128.30000000000001</v>
      </c>
      <c r="F29" s="6">
        <v>28.7</v>
      </c>
      <c r="G29">
        <v>13.3</v>
      </c>
      <c r="H29">
        <f t="shared" ref="H29:H38" si="11">B29/1000/60</f>
        <v>2.1383333333333337E-3</v>
      </c>
      <c r="M29">
        <f t="shared" si="10"/>
        <v>2.216666666666667E-4</v>
      </c>
    </row>
    <row r="30" spans="2:13" x14ac:dyDescent="0.2">
      <c r="B30">
        <v>1635</v>
      </c>
      <c r="F30" s="6">
        <v>49.8</v>
      </c>
      <c r="G30">
        <v>29</v>
      </c>
      <c r="H30">
        <f t="shared" si="11"/>
        <v>2.725E-2</v>
      </c>
      <c r="M30">
        <f t="shared" si="10"/>
        <v>4.8333333333333334E-4</v>
      </c>
    </row>
    <row r="31" spans="2:13" x14ac:dyDescent="0.2">
      <c r="B31">
        <v>4140</v>
      </c>
      <c r="G31">
        <v>47.9</v>
      </c>
      <c r="H31">
        <f t="shared" si="11"/>
        <v>6.8999999999999992E-2</v>
      </c>
      <c r="M31">
        <f t="shared" si="10"/>
        <v>7.983333333333333E-4</v>
      </c>
    </row>
    <row r="32" spans="2:13" x14ac:dyDescent="0.2">
      <c r="B32">
        <v>19377</v>
      </c>
      <c r="G32">
        <v>99.9</v>
      </c>
      <c r="H32">
        <f t="shared" si="11"/>
        <v>0.32294999999999996</v>
      </c>
      <c r="M32">
        <f t="shared" si="10"/>
        <v>1.665E-3</v>
      </c>
    </row>
    <row r="33" spans="1:13" x14ac:dyDescent="0.2">
      <c r="B33">
        <v>66248</v>
      </c>
      <c r="G33">
        <v>172</v>
      </c>
      <c r="H33">
        <f t="shared" si="11"/>
        <v>1.1041333333333334</v>
      </c>
      <c r="M33">
        <f t="shared" si="10"/>
        <v>2.8666666666666662E-3</v>
      </c>
    </row>
    <row r="34" spans="1:13" x14ac:dyDescent="0.2">
      <c r="B34">
        <v>356388</v>
      </c>
      <c r="G34">
        <v>391</v>
      </c>
      <c r="H34">
        <f t="shared" si="11"/>
        <v>5.9398</v>
      </c>
      <c r="M34">
        <f t="shared" si="10"/>
        <v>6.5166666666666671E-3</v>
      </c>
    </row>
    <row r="35" spans="1:13" x14ac:dyDescent="0.2">
      <c r="B35">
        <v>1747386</v>
      </c>
      <c r="G35">
        <v>710</v>
      </c>
      <c r="H35">
        <f t="shared" si="11"/>
        <v>29.123100000000001</v>
      </c>
      <c r="M35">
        <f t="shared" si="10"/>
        <v>1.1833333333333333E-2</v>
      </c>
    </row>
    <row r="36" spans="1:13" x14ac:dyDescent="0.2">
      <c r="B36">
        <v>46063228.246423274</v>
      </c>
      <c r="G36">
        <v>3710</v>
      </c>
      <c r="H36">
        <f t="shared" si="11"/>
        <v>767.72047077372133</v>
      </c>
      <c r="M36">
        <f t="shared" si="10"/>
        <v>6.183333333333333E-2</v>
      </c>
    </row>
    <row r="37" spans="1:13" x14ac:dyDescent="0.2">
      <c r="B37">
        <v>798604022.01515555</v>
      </c>
      <c r="G37">
        <v>15600</v>
      </c>
      <c r="H37">
        <f t="shared" si="11"/>
        <v>13310.067033585925</v>
      </c>
      <c r="M37">
        <f t="shared" si="10"/>
        <v>0.26</v>
      </c>
    </row>
    <row r="38" spans="1:13" x14ac:dyDescent="0.2">
      <c r="B38">
        <v>2010000835.5987208</v>
      </c>
      <c r="G38">
        <v>24600</v>
      </c>
      <c r="H38">
        <f t="shared" si="11"/>
        <v>33500.013926645348</v>
      </c>
      <c r="M38">
        <f t="shared" si="10"/>
        <v>0.41000000000000003</v>
      </c>
    </row>
    <row r="41" spans="1:13" x14ac:dyDescent="0.2">
      <c r="A41" s="5" t="s">
        <v>19</v>
      </c>
      <c r="B41">
        <v>62590990</v>
      </c>
      <c r="G41">
        <f>B41/1000</f>
        <v>62590.99</v>
      </c>
      <c r="H41">
        <f>G41/60</f>
        <v>1043.1831666666667</v>
      </c>
      <c r="J41">
        <f>H41/60</f>
        <v>17.386386111111111</v>
      </c>
    </row>
    <row r="44" spans="1:13" x14ac:dyDescent="0.2">
      <c r="C44">
        <f>748481/4688080</f>
        <v>0.15965619187385882</v>
      </c>
      <c r="E44">
        <v>279</v>
      </c>
    </row>
    <row r="45" spans="1:13" x14ac:dyDescent="0.2">
      <c r="E45">
        <v>70</v>
      </c>
    </row>
    <row r="46" spans="1:13" x14ac:dyDescent="0.2">
      <c r="E46">
        <f>E45/E44</f>
        <v>0.25089605734767023</v>
      </c>
    </row>
    <row r="49" spans="3:5" x14ac:dyDescent="0.2">
      <c r="C49">
        <v>1500</v>
      </c>
      <c r="D49">
        <v>2.2000000000000002</v>
      </c>
    </row>
    <row r="50" spans="3:5" x14ac:dyDescent="0.2">
      <c r="C50">
        <v>15000</v>
      </c>
      <c r="D50">
        <v>21.3</v>
      </c>
      <c r="E50">
        <f>D50/D49</f>
        <v>9.6818181818181817</v>
      </c>
    </row>
    <row r="51" spans="3:5" x14ac:dyDescent="0.2">
      <c r="C51">
        <v>150000</v>
      </c>
      <c r="D51">
        <v>254</v>
      </c>
      <c r="E51">
        <f t="shared" ref="E51:E52" si="12">D51/D50</f>
        <v>11.92488262910798</v>
      </c>
    </row>
    <row r="52" spans="3:5" x14ac:dyDescent="0.2">
      <c r="C52">
        <v>1500000</v>
      </c>
      <c r="D52">
        <v>3270</v>
      </c>
      <c r="E52">
        <f t="shared" si="12"/>
        <v>12.874015748031496</v>
      </c>
    </row>
  </sheetData>
  <pageMargins left="0.7" right="0.7" top="0.75" bottom="0.75" header="0.3" footer="0.3"/>
  <pageSetup paperSize="9"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D871-593C-594F-9945-A3C34234BC13}">
  <dimension ref="A1:V52"/>
  <sheetViews>
    <sheetView tabSelected="1" zoomScale="110" zoomScaleNormal="110" workbookViewId="0">
      <selection activeCell="G16" sqref="G16"/>
    </sheetView>
  </sheetViews>
  <sheetFormatPr baseColWidth="10" defaultRowHeight="16" x14ac:dyDescent="0.2"/>
  <cols>
    <col min="1" max="1" width="24.83203125" bestFit="1" customWidth="1"/>
    <col min="2" max="2" width="11.6640625" bestFit="1" customWidth="1"/>
    <col min="7" max="7" width="13.6640625" customWidth="1"/>
    <col min="11" max="11" width="12.1640625" bestFit="1" customWidth="1"/>
    <col min="12" max="12" width="12.1640625" customWidth="1"/>
    <col min="18" max="18" width="10.6640625" customWidth="1"/>
  </cols>
  <sheetData>
    <row r="1" spans="1:22" x14ac:dyDescent="0.2">
      <c r="D1" t="s">
        <v>20</v>
      </c>
      <c r="G1" s="8" t="s">
        <v>21</v>
      </c>
      <c r="H1" s="8"/>
      <c r="I1" s="8"/>
    </row>
    <row r="2" spans="1:22" x14ac:dyDescent="0.2">
      <c r="A2" t="s">
        <v>6</v>
      </c>
      <c r="B2" t="s">
        <v>5</v>
      </c>
      <c r="D2" t="s">
        <v>7</v>
      </c>
      <c r="E2" t="s">
        <v>8</v>
      </c>
      <c r="F2" t="s">
        <v>22</v>
      </c>
      <c r="G2" s="8" t="s">
        <v>7</v>
      </c>
      <c r="H2" s="8" t="s">
        <v>8</v>
      </c>
      <c r="I2" s="8" t="s">
        <v>22</v>
      </c>
    </row>
    <row r="3" spans="1:22" x14ac:dyDescent="0.2">
      <c r="A3" t="s">
        <v>4</v>
      </c>
      <c r="B3" s="4">
        <v>685</v>
      </c>
      <c r="C3" s="4">
        <f>B3</f>
        <v>685</v>
      </c>
      <c r="D3">
        <v>1.4999999999999999E-2</v>
      </c>
      <c r="E3">
        <v>4.7999999999999996E-3</v>
      </c>
      <c r="F3" s="10">
        <v>6.4000000000000003E-3</v>
      </c>
      <c r="G3" s="9">
        <f>D3/60</f>
        <v>2.5000000000000001E-4</v>
      </c>
      <c r="H3" s="9">
        <f>E3/60</f>
        <v>7.9999999999999993E-5</v>
      </c>
      <c r="I3" s="9">
        <f>F3/60</f>
        <v>1.0666666666666667E-4</v>
      </c>
      <c r="J3" s="7">
        <f>G3*1.8</f>
        <v>4.5000000000000004E-4</v>
      </c>
      <c r="K3" s="7">
        <f>H3*0.85</f>
        <v>6.7999999999999986E-5</v>
      </c>
      <c r="L3" s="7">
        <f>I3</f>
        <v>1.0666666666666667E-4</v>
      </c>
    </row>
    <row r="4" spans="1:22" x14ac:dyDescent="0.2">
      <c r="A4" t="s">
        <v>24</v>
      </c>
      <c r="B4" s="4">
        <v>2007</v>
      </c>
      <c r="C4" s="4">
        <f t="shared" ref="C4:C13" si="0">B4</f>
        <v>2007</v>
      </c>
      <c r="D4">
        <v>0.104</v>
      </c>
      <c r="E4" s="10">
        <v>1.32E-2</v>
      </c>
      <c r="F4" s="10">
        <v>2.5999999999999999E-2</v>
      </c>
      <c r="G4" s="9">
        <f t="shared" ref="G4:I13" si="1">D4/60</f>
        <v>1.7333333333333333E-3</v>
      </c>
      <c r="H4" s="9">
        <f t="shared" si="1"/>
        <v>2.2000000000000001E-4</v>
      </c>
      <c r="I4" s="9">
        <f t="shared" si="1"/>
        <v>4.3333333333333331E-4</v>
      </c>
      <c r="J4">
        <f>J3*B4^2/B3^2</f>
        <v>3.863012520645746E-3</v>
      </c>
      <c r="K4">
        <f>K3*B4/B3</f>
        <v>1.9923503649635029E-4</v>
      </c>
      <c r="L4">
        <f>L3*C4/C3</f>
        <v>3.1252554744525549E-4</v>
      </c>
      <c r="M4" s="3">
        <f>B4^2/B3^2</f>
        <v>8.5844722681016563</v>
      </c>
      <c r="N4" s="3">
        <f>G4/G3</f>
        <v>6.9333333333333327</v>
      </c>
      <c r="O4" s="3">
        <f>B4/B3</f>
        <v>2.9299270072992702</v>
      </c>
      <c r="P4" s="3">
        <f>H4/H3</f>
        <v>2.7500000000000004</v>
      </c>
      <c r="R4" s="4">
        <f>M4*G3</f>
        <v>2.1461180670254141E-3</v>
      </c>
    </row>
    <row r="5" spans="1:22" x14ac:dyDescent="0.2">
      <c r="A5" t="s">
        <v>25</v>
      </c>
      <c r="B5" s="4">
        <v>4783</v>
      </c>
      <c r="C5" s="4">
        <f t="shared" si="0"/>
        <v>4783</v>
      </c>
      <c r="D5">
        <v>1.552</v>
      </c>
      <c r="E5" s="10">
        <v>3.3000000000000002E-2</v>
      </c>
      <c r="F5" s="10">
        <v>3.3000000000000002E-2</v>
      </c>
      <c r="G5" s="9">
        <f t="shared" si="1"/>
        <v>2.5866666666666666E-2</v>
      </c>
      <c r="H5" s="9">
        <f t="shared" si="1"/>
        <v>5.5000000000000003E-4</v>
      </c>
      <c r="I5" s="9">
        <f t="shared" si="1"/>
        <v>5.5000000000000003E-4</v>
      </c>
      <c r="J5">
        <f t="shared" ref="J5:J13" si="2">J4*B5^2/B4^2</f>
        <v>2.1939773136554961E-2</v>
      </c>
      <c r="K5">
        <f t="shared" ref="K5:L13" si="3">K4*B5/B4</f>
        <v>4.7480875912408744E-4</v>
      </c>
      <c r="L5">
        <f t="shared" si="3"/>
        <v>7.4479805352798052E-4</v>
      </c>
      <c r="M5" s="3"/>
      <c r="N5" s="3"/>
      <c r="O5" s="3"/>
      <c r="P5" s="3"/>
      <c r="R5" s="4"/>
    </row>
    <row r="6" spans="1:22" x14ac:dyDescent="0.2">
      <c r="A6" t="s">
        <v>17</v>
      </c>
      <c r="B6" s="4">
        <v>9069</v>
      </c>
      <c r="C6" s="4">
        <f t="shared" si="0"/>
        <v>9069</v>
      </c>
      <c r="D6">
        <v>4.1040000000000001</v>
      </c>
      <c r="E6" s="10">
        <v>5.11E-2</v>
      </c>
      <c r="F6" s="10">
        <v>5.8900000000000001E-2</v>
      </c>
      <c r="G6" s="9">
        <f t="shared" si="1"/>
        <v>6.8400000000000002E-2</v>
      </c>
      <c r="H6" s="9">
        <f t="shared" si="1"/>
        <v>8.516666666666667E-4</v>
      </c>
      <c r="I6" s="9">
        <f t="shared" si="1"/>
        <v>9.8166666666666671E-4</v>
      </c>
      <c r="J6">
        <f t="shared" si="2"/>
        <v>7.8876961905269341E-2</v>
      </c>
      <c r="K6">
        <f t="shared" si="3"/>
        <v>9.0028029197080273E-4</v>
      </c>
      <c r="L6">
        <f t="shared" si="3"/>
        <v>1.4122043795620437E-3</v>
      </c>
      <c r="M6" s="3"/>
      <c r="N6" s="3"/>
      <c r="O6" s="3"/>
      <c r="P6" s="3"/>
      <c r="R6" s="4"/>
    </row>
    <row r="7" spans="1:22" x14ac:dyDescent="0.2">
      <c r="A7" t="s">
        <v>26</v>
      </c>
      <c r="B7" s="4">
        <v>22441</v>
      </c>
      <c r="C7" s="4">
        <f t="shared" si="0"/>
        <v>22441</v>
      </c>
      <c r="D7">
        <v>17.574999999999999</v>
      </c>
      <c r="E7" s="10">
        <v>0.12</v>
      </c>
      <c r="F7" s="10">
        <v>0.224</v>
      </c>
      <c r="G7" s="9">
        <f t="shared" si="1"/>
        <v>0.29291666666666666</v>
      </c>
      <c r="H7" s="9">
        <f t="shared" si="1"/>
        <v>2E-3</v>
      </c>
      <c r="I7" s="9">
        <f t="shared" si="1"/>
        <v>3.7333333333333333E-3</v>
      </c>
      <c r="J7">
        <f t="shared" si="2"/>
        <v>0.48296513708775118</v>
      </c>
      <c r="K7">
        <f t="shared" si="3"/>
        <v>2.2277197080291964E-3</v>
      </c>
      <c r="L7">
        <f t="shared" si="3"/>
        <v>3.4944622871046225E-3</v>
      </c>
      <c r="M7" s="3">
        <f>B7^2/B4^2</f>
        <v>125.02292822157824</v>
      </c>
      <c r="N7" s="3">
        <f>G7/G4</f>
        <v>168.99038461538461</v>
      </c>
      <c r="O7" s="3">
        <f>B7/B4</f>
        <v>11.181365221723967</v>
      </c>
      <c r="P7" s="3">
        <f>H7/H4</f>
        <v>9.0909090909090899</v>
      </c>
      <c r="R7" s="4">
        <f>M7*G4</f>
        <v>0.21670640891740228</v>
      </c>
    </row>
    <row r="8" spans="1:22" x14ac:dyDescent="0.2">
      <c r="A8" t="s">
        <v>27</v>
      </c>
      <c r="B8" s="4">
        <v>40175</v>
      </c>
      <c r="C8" s="4">
        <f t="shared" si="0"/>
        <v>40175</v>
      </c>
      <c r="D8">
        <v>195.22499999999999</v>
      </c>
      <c r="E8" s="10">
        <v>0.23100000000000001</v>
      </c>
      <c r="F8" s="10">
        <v>0.24</v>
      </c>
      <c r="G8" s="9">
        <f t="shared" si="1"/>
        <v>3.2537499999999997</v>
      </c>
      <c r="H8" s="9">
        <f t="shared" si="1"/>
        <v>3.8500000000000001E-3</v>
      </c>
      <c r="I8" s="9">
        <f t="shared" si="1"/>
        <v>4.0000000000000001E-3</v>
      </c>
      <c r="J8">
        <f t="shared" si="2"/>
        <v>1.5479008604613995</v>
      </c>
      <c r="K8">
        <f t="shared" si="3"/>
        <v>3.9881751824817511E-3</v>
      </c>
      <c r="L8">
        <f t="shared" si="3"/>
        <v>6.2559610705596102E-3</v>
      </c>
      <c r="M8" s="3">
        <f>B8^2/B7^2</f>
        <v>3.2049950226120716</v>
      </c>
      <c r="N8" s="3">
        <f>G8/G7</f>
        <v>11.108108108108107</v>
      </c>
      <c r="O8" s="3">
        <f t="shared" ref="O8:O13" si="4">B8/B7</f>
        <v>1.7902499888596766</v>
      </c>
      <c r="P8" s="3">
        <f t="shared" ref="P8:P13" si="5">H8/H7</f>
        <v>1.925</v>
      </c>
      <c r="R8" s="4">
        <f>M8*G7</f>
        <v>0.93879645870678596</v>
      </c>
    </row>
    <row r="9" spans="1:22" x14ac:dyDescent="0.2">
      <c r="A9" t="s">
        <v>12</v>
      </c>
      <c r="B9" s="4">
        <v>74731</v>
      </c>
      <c r="C9" s="4">
        <f t="shared" si="0"/>
        <v>74731</v>
      </c>
      <c r="D9">
        <v>324.53899999999999</v>
      </c>
      <c r="E9" s="10">
        <v>0.433</v>
      </c>
      <c r="F9" s="10">
        <v>0.96399999999999997</v>
      </c>
      <c r="G9" s="9">
        <f t="shared" si="1"/>
        <v>5.4089833333333335</v>
      </c>
      <c r="H9" s="9">
        <f t="shared" si="1"/>
        <v>7.2166666666666664E-3</v>
      </c>
      <c r="I9" s="9">
        <f t="shared" si="1"/>
        <v>1.6066666666666667E-2</v>
      </c>
      <c r="J9">
        <f t="shared" si="2"/>
        <v>5.3559061483296944</v>
      </c>
      <c r="K9">
        <f t="shared" si="3"/>
        <v>7.418551824817517E-3</v>
      </c>
      <c r="L9">
        <f t="shared" si="3"/>
        <v>1.1636944038929439E-2</v>
      </c>
      <c r="M9" s="3">
        <f>B9^2/B8^2</f>
        <v>3.4601092906771829</v>
      </c>
      <c r="N9" s="3">
        <f>G9/G8</f>
        <v>1.6623844282238445</v>
      </c>
      <c r="O9" s="3">
        <f t="shared" si="4"/>
        <v>1.8601369010578719</v>
      </c>
      <c r="P9" s="3">
        <f t="shared" si="5"/>
        <v>1.8744588744588744</v>
      </c>
      <c r="R9" s="4">
        <f>M9*G8</f>
        <v>11.258330604540882</v>
      </c>
    </row>
    <row r="10" spans="1:22" x14ac:dyDescent="0.2">
      <c r="A10" t="s">
        <v>13</v>
      </c>
      <c r="B10" s="4">
        <v>140247</v>
      </c>
      <c r="C10" s="4">
        <f t="shared" si="0"/>
        <v>140247</v>
      </c>
      <c r="D10">
        <v>1545.6</v>
      </c>
      <c r="E10" s="10">
        <v>0.80300000000000005</v>
      </c>
      <c r="F10" s="10">
        <v>0.83199999999999996</v>
      </c>
      <c r="G10" s="9">
        <f t="shared" si="1"/>
        <v>25.759999999999998</v>
      </c>
      <c r="H10" s="9">
        <f t="shared" si="1"/>
        <v>1.3383333333333334E-2</v>
      </c>
      <c r="I10" s="9">
        <f t="shared" si="1"/>
        <v>1.3866666666666666E-2</v>
      </c>
      <c r="J10">
        <f t="shared" si="2"/>
        <v>18.863337320155583</v>
      </c>
      <c r="K10">
        <f t="shared" si="3"/>
        <v>1.3922329927007296E-2</v>
      </c>
      <c r="L10">
        <f t="shared" si="3"/>
        <v>2.1838948905109488E-2</v>
      </c>
      <c r="M10" s="3">
        <f t="shared" ref="M10:M13" si="6">B10^2/B9^2</f>
        <v>3.5219693545299235</v>
      </c>
      <c r="N10" s="3">
        <f>G10/G9</f>
        <v>4.7624476565220197</v>
      </c>
      <c r="O10" s="3">
        <f t="shared" si="4"/>
        <v>1.8766910652874977</v>
      </c>
      <c r="P10" s="3">
        <f t="shared" si="5"/>
        <v>1.8545034642032334</v>
      </c>
      <c r="R10" s="4">
        <f>M10*G9</f>
        <v>19.050273539163115</v>
      </c>
      <c r="S10">
        <f>R10/1000</f>
        <v>1.9050273539163116E-2</v>
      </c>
      <c r="T10">
        <f>S10/60</f>
        <v>3.1750455898605192E-4</v>
      </c>
    </row>
    <row r="11" spans="1:22" x14ac:dyDescent="0.2">
      <c r="A11" t="s">
        <v>14</v>
      </c>
      <c r="B11" s="4">
        <v>746891</v>
      </c>
      <c r="C11" s="4">
        <f t="shared" si="0"/>
        <v>746891</v>
      </c>
      <c r="D11">
        <f>J11*60</f>
        <v>32099.411750838095</v>
      </c>
      <c r="E11" s="10">
        <v>4.4800000000000004</v>
      </c>
      <c r="F11" s="10">
        <v>8.94</v>
      </c>
      <c r="G11" s="9">
        <f t="shared" si="1"/>
        <v>534.99019584730161</v>
      </c>
      <c r="H11" s="9">
        <f t="shared" si="1"/>
        <v>7.4666666666666673E-2</v>
      </c>
      <c r="I11" s="9">
        <f t="shared" si="1"/>
        <v>0.14899999999999999</v>
      </c>
      <c r="J11">
        <f t="shared" si="2"/>
        <v>534.99019584730161</v>
      </c>
      <c r="K11">
        <f t="shared" si="3"/>
        <v>7.4143924087591226E-2</v>
      </c>
      <c r="L11">
        <f t="shared" si="3"/>
        <v>0.11630419464720193</v>
      </c>
      <c r="M11" s="3">
        <f t="shared" si="6"/>
        <v>28.361375655179614</v>
      </c>
      <c r="O11" s="3">
        <f t="shared" si="4"/>
        <v>5.3255399402482766</v>
      </c>
      <c r="P11" s="3">
        <f t="shared" si="5"/>
        <v>5.5790784557907847</v>
      </c>
      <c r="R11">
        <f>G10*(M11*1.05)</f>
        <v>767.11848872129815</v>
      </c>
      <c r="S11">
        <v>43869.741187069783</v>
      </c>
      <c r="T11">
        <v>731.16235311782975</v>
      </c>
      <c r="U11">
        <v>12.186039218630496</v>
      </c>
      <c r="V11">
        <v>0.507751634109604</v>
      </c>
    </row>
    <row r="12" spans="1:22" x14ac:dyDescent="0.2">
      <c r="A12" t="s">
        <v>15</v>
      </c>
      <c r="B12" s="4">
        <v>2950313</v>
      </c>
      <c r="C12" s="4">
        <f t="shared" si="0"/>
        <v>2950313</v>
      </c>
      <c r="D12">
        <f t="shared" ref="D12:D13" si="7">J12*60</f>
        <v>500862.83455732983</v>
      </c>
      <c r="E12" s="10">
        <v>17.100000000000001</v>
      </c>
      <c r="F12" s="10">
        <v>24.3</v>
      </c>
      <c r="G12" s="9">
        <f t="shared" si="1"/>
        <v>8347.7139092888301</v>
      </c>
      <c r="H12" s="9">
        <f t="shared" si="1"/>
        <v>0.28500000000000003</v>
      </c>
      <c r="I12" s="9">
        <f t="shared" si="1"/>
        <v>0.40500000000000003</v>
      </c>
      <c r="J12">
        <f t="shared" si="2"/>
        <v>8347.7139092888301</v>
      </c>
      <c r="K12">
        <f t="shared" si="3"/>
        <v>0.29287778686131377</v>
      </c>
      <c r="L12">
        <f t="shared" si="3"/>
        <v>0.45941613625304129</v>
      </c>
      <c r="M12" s="3">
        <f t="shared" si="6"/>
        <v>15.60348951080864</v>
      </c>
      <c r="O12" s="3">
        <f t="shared" si="4"/>
        <v>3.9501252525468908</v>
      </c>
      <c r="P12" s="3">
        <f t="shared" si="5"/>
        <v>3.816964285714286</v>
      </c>
      <c r="R12">
        <f t="shared" ref="R12:R13" si="8">G11*(M12*1.05)</f>
        <v>8765.0996047532735</v>
      </c>
      <c r="S12">
        <v>724357.38958290732</v>
      </c>
      <c r="T12">
        <v>12072.623159715122</v>
      </c>
      <c r="U12">
        <v>201.21038599525204</v>
      </c>
      <c r="V12">
        <v>8.3837660831355016</v>
      </c>
    </row>
    <row r="13" spans="1:22" x14ac:dyDescent="0.2">
      <c r="A13" t="s">
        <v>16</v>
      </c>
      <c r="B13" s="4">
        <v>4589559</v>
      </c>
      <c r="C13" s="4">
        <f t="shared" si="0"/>
        <v>4589559</v>
      </c>
      <c r="D13">
        <f t="shared" si="7"/>
        <v>1212061.1625360693</v>
      </c>
      <c r="E13" s="10">
        <v>26.4</v>
      </c>
      <c r="F13" s="10">
        <v>50.8</v>
      </c>
      <c r="G13" s="9">
        <f t="shared" si="1"/>
        <v>20201.019375601154</v>
      </c>
      <c r="H13" s="9">
        <f t="shared" si="1"/>
        <v>0.44</v>
      </c>
      <c r="I13" s="9">
        <f t="shared" si="1"/>
        <v>0.84666666666666657</v>
      </c>
      <c r="J13">
        <f t="shared" si="2"/>
        <v>20201.019375601154</v>
      </c>
      <c r="K13">
        <f t="shared" si="3"/>
        <v>0.45560585693430639</v>
      </c>
      <c r="L13">
        <f t="shared" si="3"/>
        <v>0.71467585401459843</v>
      </c>
      <c r="M13" s="3">
        <f t="shared" si="6"/>
        <v>2.4199462984857072</v>
      </c>
      <c r="O13" s="3">
        <f t="shared" si="4"/>
        <v>1.5556176581942323</v>
      </c>
      <c r="P13" s="3">
        <f t="shared" si="5"/>
        <v>1.5438596491228069</v>
      </c>
      <c r="R13">
        <f t="shared" si="8"/>
        <v>21211.070344381216</v>
      </c>
      <c r="S13">
        <v>1736314.2948698588</v>
      </c>
      <c r="T13">
        <v>28938.571581164313</v>
      </c>
      <c r="U13">
        <v>482.30952635273854</v>
      </c>
      <c r="V13">
        <v>20.096230264697439</v>
      </c>
    </row>
    <row r="19" spans="2:13" x14ac:dyDescent="0.2">
      <c r="F19" t="s">
        <v>23</v>
      </c>
    </row>
    <row r="20" spans="2:13" x14ac:dyDescent="0.2">
      <c r="F20">
        <v>9.6799999999999994E-3</v>
      </c>
    </row>
    <row r="21" spans="2:13" x14ac:dyDescent="0.2">
      <c r="B21">
        <v>5000</v>
      </c>
      <c r="F21" s="6">
        <v>2.29E-2</v>
      </c>
    </row>
    <row r="22" spans="2:13" x14ac:dyDescent="0.2">
      <c r="B22">
        <v>10000</v>
      </c>
      <c r="F22" s="6">
        <v>4.2299999999999997E-2</v>
      </c>
    </row>
    <row r="23" spans="2:13" x14ac:dyDescent="0.2">
      <c r="B23">
        <v>20000</v>
      </c>
      <c r="F23" s="6">
        <v>6.8900000000000003E-2</v>
      </c>
    </row>
    <row r="24" spans="2:13" x14ac:dyDescent="0.2">
      <c r="B24">
        <v>100000</v>
      </c>
      <c r="F24" s="6">
        <v>0.20899999999999999</v>
      </c>
    </row>
    <row r="25" spans="2:13" x14ac:dyDescent="0.2">
      <c r="B25">
        <v>1000000</v>
      </c>
      <c r="F25" s="6">
        <v>0.38700000000000001</v>
      </c>
    </row>
    <row r="26" spans="2:13" x14ac:dyDescent="0.2">
      <c r="F26" s="6">
        <v>0.90600000000000003</v>
      </c>
    </row>
    <row r="27" spans="2:13" x14ac:dyDescent="0.2">
      <c r="F27" s="6">
        <v>1.21</v>
      </c>
    </row>
    <row r="28" spans="2:13" x14ac:dyDescent="0.2">
      <c r="B28">
        <v>17</v>
      </c>
      <c r="F28" s="6">
        <v>6.89</v>
      </c>
      <c r="G28">
        <v>6.2</v>
      </c>
      <c r="H28">
        <f>B28/1000/60</f>
        <v>2.8333333333333335E-4</v>
      </c>
      <c r="M28">
        <f t="shared" ref="M28:M38" si="9">G28/1000/60</f>
        <v>1.0333333333333333E-4</v>
      </c>
    </row>
    <row r="29" spans="2:13" x14ac:dyDescent="0.2">
      <c r="B29">
        <v>128.30000000000001</v>
      </c>
      <c r="F29" s="6">
        <v>28.7</v>
      </c>
      <c r="G29">
        <v>13.3</v>
      </c>
      <c r="H29">
        <f t="shared" ref="H29:H38" si="10">B29/1000/60</f>
        <v>2.1383333333333337E-3</v>
      </c>
      <c r="M29">
        <f t="shared" si="9"/>
        <v>2.216666666666667E-4</v>
      </c>
    </row>
    <row r="30" spans="2:13" x14ac:dyDescent="0.2">
      <c r="B30">
        <v>1635</v>
      </c>
      <c r="F30" s="6">
        <v>49.8</v>
      </c>
      <c r="G30">
        <v>29</v>
      </c>
      <c r="H30">
        <f t="shared" si="10"/>
        <v>2.725E-2</v>
      </c>
      <c r="M30">
        <f t="shared" si="9"/>
        <v>4.8333333333333334E-4</v>
      </c>
    </row>
    <row r="31" spans="2:13" x14ac:dyDescent="0.2">
      <c r="B31">
        <v>4140</v>
      </c>
      <c r="G31">
        <v>47.9</v>
      </c>
      <c r="H31">
        <f t="shared" si="10"/>
        <v>6.8999999999999992E-2</v>
      </c>
      <c r="M31">
        <f t="shared" si="9"/>
        <v>7.983333333333333E-4</v>
      </c>
    </row>
    <row r="32" spans="2:13" x14ac:dyDescent="0.2">
      <c r="B32">
        <v>19377</v>
      </c>
      <c r="G32">
        <v>99.9</v>
      </c>
      <c r="H32">
        <f t="shared" si="10"/>
        <v>0.32294999999999996</v>
      </c>
      <c r="M32">
        <f t="shared" si="9"/>
        <v>1.665E-3</v>
      </c>
    </row>
    <row r="33" spans="1:13" x14ac:dyDescent="0.2">
      <c r="B33">
        <v>66248</v>
      </c>
      <c r="G33">
        <v>172</v>
      </c>
      <c r="H33">
        <f t="shared" si="10"/>
        <v>1.1041333333333334</v>
      </c>
      <c r="M33">
        <f t="shared" si="9"/>
        <v>2.8666666666666662E-3</v>
      </c>
    </row>
    <row r="34" spans="1:13" x14ac:dyDescent="0.2">
      <c r="B34">
        <v>356388</v>
      </c>
      <c r="G34">
        <v>391</v>
      </c>
      <c r="H34">
        <f t="shared" si="10"/>
        <v>5.9398</v>
      </c>
      <c r="M34">
        <f t="shared" si="9"/>
        <v>6.5166666666666671E-3</v>
      </c>
    </row>
    <row r="35" spans="1:13" x14ac:dyDescent="0.2">
      <c r="B35">
        <v>1747386</v>
      </c>
      <c r="G35">
        <v>710</v>
      </c>
      <c r="H35">
        <f t="shared" si="10"/>
        <v>29.123100000000001</v>
      </c>
      <c r="M35">
        <f t="shared" si="9"/>
        <v>1.1833333333333333E-2</v>
      </c>
    </row>
    <row r="36" spans="1:13" x14ac:dyDescent="0.2">
      <c r="B36">
        <v>46063228.246423274</v>
      </c>
      <c r="G36">
        <v>3710</v>
      </c>
      <c r="H36">
        <f t="shared" si="10"/>
        <v>767.72047077372133</v>
      </c>
      <c r="M36">
        <f t="shared" si="9"/>
        <v>6.183333333333333E-2</v>
      </c>
    </row>
    <row r="37" spans="1:13" x14ac:dyDescent="0.2">
      <c r="B37">
        <v>798604022.01515555</v>
      </c>
      <c r="G37">
        <v>15600</v>
      </c>
      <c r="H37">
        <f t="shared" si="10"/>
        <v>13310.067033585925</v>
      </c>
      <c r="M37">
        <f t="shared" si="9"/>
        <v>0.26</v>
      </c>
    </row>
    <row r="38" spans="1:13" x14ac:dyDescent="0.2">
      <c r="B38">
        <v>2010000835.5987208</v>
      </c>
      <c r="G38">
        <v>24600</v>
      </c>
      <c r="H38">
        <f t="shared" si="10"/>
        <v>33500.013926645348</v>
      </c>
      <c r="M38">
        <f t="shared" si="9"/>
        <v>0.41000000000000003</v>
      </c>
    </row>
    <row r="41" spans="1:13" x14ac:dyDescent="0.2">
      <c r="A41" s="5" t="s">
        <v>19</v>
      </c>
      <c r="B41">
        <v>62590990</v>
      </c>
      <c r="G41">
        <f>B41/1000</f>
        <v>62590.99</v>
      </c>
      <c r="H41">
        <f>G41/60</f>
        <v>1043.1831666666667</v>
      </c>
      <c r="J41">
        <f>H41/60</f>
        <v>17.386386111111111</v>
      </c>
    </row>
    <row r="44" spans="1:13" x14ac:dyDescent="0.2">
      <c r="C44">
        <f>748481/4688080</f>
        <v>0.15965619187385882</v>
      </c>
      <c r="E44">
        <v>279</v>
      </c>
    </row>
    <row r="45" spans="1:13" x14ac:dyDescent="0.2">
      <c r="E45">
        <v>70</v>
      </c>
    </row>
    <row r="46" spans="1:13" x14ac:dyDescent="0.2">
      <c r="E46">
        <f>E45/E44</f>
        <v>0.25089605734767023</v>
      </c>
    </row>
    <row r="49" spans="3:5" x14ac:dyDescent="0.2">
      <c r="C49">
        <v>1500</v>
      </c>
      <c r="D49">
        <v>2.2000000000000002</v>
      </c>
    </row>
    <row r="50" spans="3:5" x14ac:dyDescent="0.2">
      <c r="C50">
        <v>15000</v>
      </c>
      <c r="D50">
        <v>21.3</v>
      </c>
      <c r="E50">
        <f>D50/D49</f>
        <v>9.6818181818181817</v>
      </c>
    </row>
    <row r="51" spans="3:5" x14ac:dyDescent="0.2">
      <c r="C51">
        <v>150000</v>
      </c>
      <c r="D51">
        <v>254</v>
      </c>
      <c r="E51">
        <f t="shared" ref="E51:E52" si="11">D51/D50</f>
        <v>11.92488262910798</v>
      </c>
    </row>
    <row r="52" spans="3:5" x14ac:dyDescent="0.2">
      <c r="C52">
        <v>1500000</v>
      </c>
      <c r="D52">
        <v>3270</v>
      </c>
      <c r="E52">
        <f t="shared" si="11"/>
        <v>12.874015748031496</v>
      </c>
    </row>
  </sheetData>
  <pageMargins left="0.7" right="0.7" top="0.75" bottom="0.75" header="0.3" footer="0.3"/>
  <pageSetup paperSize="9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6223F-8B03-D94E-ACEF-6113471589B9}">
  <dimension ref="A1:D12"/>
  <sheetViews>
    <sheetView workbookViewId="0">
      <selection activeCell="N14" sqref="N14"/>
    </sheetView>
  </sheetViews>
  <sheetFormatPr baseColWidth="10" defaultRowHeight="16" x14ac:dyDescent="0.2"/>
  <sheetData>
    <row r="1" spans="1:4" x14ac:dyDescent="0.2">
      <c r="A1" t="s">
        <v>5</v>
      </c>
      <c r="B1" s="8" t="s">
        <v>7</v>
      </c>
      <c r="C1" s="8" t="s">
        <v>8</v>
      </c>
      <c r="D1" s="8" t="s">
        <v>22</v>
      </c>
    </row>
    <row r="2" spans="1:4" x14ac:dyDescent="0.2">
      <c r="A2" s="4">
        <v>685</v>
      </c>
      <c r="B2" s="9">
        <v>2.5000000000000001E-4</v>
      </c>
      <c r="C2" s="9">
        <v>7.9999999999999993E-5</v>
      </c>
      <c r="D2" s="9">
        <v>1.0666666666666667E-4</v>
      </c>
    </row>
    <row r="3" spans="1:4" x14ac:dyDescent="0.2">
      <c r="A3" s="4">
        <v>2007</v>
      </c>
      <c r="B3" s="9">
        <v>1.7333333333333333E-3</v>
      </c>
      <c r="C3" s="9">
        <v>2.2000000000000001E-4</v>
      </c>
      <c r="D3" s="9">
        <v>4.3333333333333331E-4</v>
      </c>
    </row>
    <row r="4" spans="1:4" x14ac:dyDescent="0.2">
      <c r="A4" s="4">
        <v>4783</v>
      </c>
      <c r="B4" s="9">
        <v>2.5866666666666666E-2</v>
      </c>
      <c r="C4" s="9">
        <v>5.5000000000000003E-4</v>
      </c>
      <c r="D4" s="9">
        <v>5.5000000000000003E-4</v>
      </c>
    </row>
    <row r="5" spans="1:4" x14ac:dyDescent="0.2">
      <c r="A5" s="4">
        <v>9069</v>
      </c>
      <c r="B5" s="9">
        <v>6.8400000000000002E-2</v>
      </c>
      <c r="C5" s="9">
        <v>8.516666666666667E-4</v>
      </c>
      <c r="D5" s="9">
        <v>9.8166666666666671E-4</v>
      </c>
    </row>
    <row r="6" spans="1:4" x14ac:dyDescent="0.2">
      <c r="A6" s="4">
        <v>22441</v>
      </c>
      <c r="B6" s="8">
        <v>0.29291666666666666</v>
      </c>
      <c r="C6" s="9">
        <v>2E-3</v>
      </c>
      <c r="D6" s="9">
        <v>3.7333333333333333E-3</v>
      </c>
    </row>
    <row r="7" spans="1:4" x14ac:dyDescent="0.2">
      <c r="A7" s="4">
        <v>40175</v>
      </c>
      <c r="B7" s="8">
        <v>3.2537499999999997</v>
      </c>
      <c r="C7" s="9">
        <v>3.8500000000000001E-3</v>
      </c>
      <c r="D7" s="9">
        <v>4.0000000000000001E-3</v>
      </c>
    </row>
    <row r="8" spans="1:4" x14ac:dyDescent="0.2">
      <c r="A8" s="4">
        <v>74731</v>
      </c>
      <c r="B8" s="8">
        <v>5.4089833333333335</v>
      </c>
      <c r="C8" s="9">
        <v>7.2166666666666664E-3</v>
      </c>
      <c r="D8" s="9">
        <v>1.6066666666666667E-2</v>
      </c>
    </row>
    <row r="9" spans="1:4" x14ac:dyDescent="0.2">
      <c r="A9" s="4">
        <v>140247</v>
      </c>
      <c r="B9" s="8">
        <v>25.759999999999998</v>
      </c>
      <c r="C9" s="9">
        <v>1.3383333333333334E-2</v>
      </c>
      <c r="D9" s="9">
        <v>1.3866666666666666E-2</v>
      </c>
    </row>
    <row r="10" spans="1:4" x14ac:dyDescent="0.2">
      <c r="A10" s="4">
        <v>746891</v>
      </c>
      <c r="B10" s="8">
        <v>534.99019584730161</v>
      </c>
      <c r="C10" s="9">
        <v>7.4666666666666673E-2</v>
      </c>
      <c r="D10" s="9">
        <v>0.14899999999999999</v>
      </c>
    </row>
    <row r="11" spans="1:4" x14ac:dyDescent="0.2">
      <c r="A11" s="4">
        <v>2950313</v>
      </c>
      <c r="B11" s="8">
        <v>8347.7139092888301</v>
      </c>
      <c r="C11" s="9">
        <v>0.28500000000000003</v>
      </c>
      <c r="D11" s="9">
        <v>0.40500000000000003</v>
      </c>
    </row>
    <row r="12" spans="1:4" x14ac:dyDescent="0.2">
      <c r="A12" s="4">
        <v>4589559</v>
      </c>
      <c r="B12" s="8">
        <v>20201.019375601154</v>
      </c>
      <c r="C12" s="9">
        <v>0.44</v>
      </c>
      <c r="D12" s="9">
        <v>0.84666666666666657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Sheet2 (2)</vt:lpstr>
      <vt:lpstr>Sheet3</vt:lpstr>
      <vt:lpstr>ete4</vt:lpstr>
      <vt:lpstr>ete4 (2)</vt:lpstr>
      <vt:lpstr>bladj vs 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Duke, Jonathan</dc:creator>
  <cp:lastModifiedBy>Duke, Jonathan</cp:lastModifiedBy>
  <cp:lastPrinted>2025-05-14T15:43:00Z</cp:lastPrinted>
  <dcterms:created xsi:type="dcterms:W3CDTF">2025-04-15T16:50:02Z</dcterms:created>
  <dcterms:modified xsi:type="dcterms:W3CDTF">2026-01-13T11:29:16Z</dcterms:modified>
</cp:coreProperties>
</file>