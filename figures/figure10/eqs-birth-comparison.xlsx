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Library/CloudStorage/Dropbox/Imperial/Tree_of_Life/Open_Tree/python/mee-clean/dated-complete-tree/figures/figure10/"/>
    </mc:Choice>
  </mc:AlternateContent>
  <xr:revisionPtr revIDLastSave="0" documentId="8_{33718874-1360-4D40-9532-1FF64DA3E6D4}" xr6:coauthVersionLast="47" xr6:coauthVersionMax="47" xr10:uidLastSave="{00000000-0000-0000-0000-000000000000}"/>
  <bookViews>
    <workbookView xWindow="-28060" yWindow="-31520" windowWidth="27240" windowHeight="27720" xr2:uid="{1D4B0825-EBD4-9346-9B8A-E1298EAAA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7" i="1"/>
  <c r="L9" i="1"/>
  <c r="L11" i="1"/>
  <c r="L13" i="1"/>
  <c r="L15" i="1"/>
  <c r="L17" i="1"/>
  <c r="L19" i="1"/>
  <c r="L21" i="1"/>
  <c r="L23" i="1"/>
  <c r="L25" i="1"/>
  <c r="L3" i="1"/>
</calcChain>
</file>

<file path=xl/sharedStrings.xml><?xml version="1.0" encoding="utf-8"?>
<sst xmlns="http://schemas.openxmlformats.org/spreadsheetml/2006/main" count="115" uniqueCount="22">
  <si>
    <t>Clade</t>
  </si>
  <si>
    <t>EQS-LS</t>
  </si>
  <si>
    <t>Birth</t>
  </si>
  <si>
    <t>All Life</t>
  </si>
  <si>
    <t>-</t>
  </si>
  <si>
    <t xml:space="preserve">  Eukaryota</t>
  </si>
  <si>
    <t xml:space="preserve">    Chordata</t>
  </si>
  <si>
    <t xml:space="preserve">      Aves</t>
  </si>
  <si>
    <t xml:space="preserve">      Mammalia</t>
  </si>
  <si>
    <t xml:space="preserve">    Arthropoda</t>
  </si>
  <si>
    <t xml:space="preserve">      Polypodiopsida</t>
  </si>
  <si>
    <t xml:space="preserve">A: Variation from topology </t>
  </si>
  <si>
    <t>Interp. algo.</t>
  </si>
  <si>
    <t>2.5th to 97.5th percentile of PD distribution (Byr)</t>
  </si>
  <si>
    <t xml:space="preserve">B: Variation from
date sources </t>
  </si>
  <si>
    <t xml:space="preserve">C: Variation from
both </t>
  </si>
  <si>
    <t>D: Max UB / min LB</t>
  </si>
  <si>
    <t xml:space="preserve">  Chloroplastida</t>
  </si>
  <si>
    <t xml:space="preserve">  Fungi</t>
  </si>
  <si>
    <t xml:space="preserve">  SAR</t>
  </si>
  <si>
    <t xml:space="preserve">  Archaea</t>
  </si>
  <si>
    <t xml:space="preserve">  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</si>
</sst>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b/>
      <sz val="11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2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2" fillId="0" borderId="1" xfId="0" applyFont="1" applyBorder="1"/>
    <xf numFmtId="2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17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124670</xdr:colOff>
      <xdr:row>4</xdr:row>
      <xdr:rowOff>0</xdr:rowOff>
    </xdr:from>
    <xdr:to>
      <xdr:col>0</xdr:col>
      <xdr:colOff>124670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D0CBF2B-25C4-A935-B400-636AD4EF52DF}"/>
            </a:ext>
          </a:extLst>
        </xdr:cNvPr>
        <xdr:cNvCxnSpPr/>
      </xdr:nvCxnSpPr>
      <xdr:spPr>
        <a:xfrm>
          <a:off x="124670" y="1044556"/>
          <a:ext cx="0" cy="4794438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201922</xdr:colOff>
      <xdr:row>6</xdr:row>
      <xdr:rowOff>2104</xdr:rowOff>
    </xdr:from>
    <xdr:to>
      <xdr:col>0</xdr:col>
      <xdr:colOff>201922</xdr:colOff>
      <xdr:row>13</xdr:row>
      <xdr:rowOff>210414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9BF50E6-2B61-5D41-8629-A049247493D6}"/>
            </a:ext>
          </a:extLst>
        </xdr:cNvPr>
        <xdr:cNvCxnSpPr/>
      </xdr:nvCxnSpPr>
      <xdr:spPr>
        <a:xfrm>
          <a:off x="201922" y="1482518"/>
          <a:ext cx="0" cy="1733813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279174</xdr:colOff>
      <xdr:row>7</xdr:row>
      <xdr:rowOff>214622</xdr:rowOff>
    </xdr:from>
    <xdr:to>
      <xdr:col>0</xdr:col>
      <xdr:colOff>279174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80F99E-7965-CF4E-BB92-DFB6F85614A8}"/>
            </a:ext>
          </a:extLst>
        </xdr:cNvPr>
        <xdr:cNvCxnSpPr/>
      </xdr:nvCxnSpPr>
      <xdr:spPr>
        <a:xfrm>
          <a:off x="279174" y="1912965"/>
          <a:ext cx="0" cy="875023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273763</xdr:colOff>
      <xdr:row>15</xdr:row>
      <xdr:rowOff>209212</xdr:rowOff>
    </xdr:from>
    <xdr:to>
      <xdr:col>0</xdr:col>
      <xdr:colOff>273763</xdr:colOff>
      <xdr:row>18</xdr:row>
      <xdr:rowOff>7515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3D2C53-92A8-AB43-97C6-8ABAA6C8B354}"/>
            </a:ext>
          </a:extLst>
        </xdr:cNvPr>
        <xdr:cNvCxnSpPr/>
      </xdr:nvCxnSpPr>
      <xdr:spPr>
        <a:xfrm>
          <a:off x="273763" y="3650987"/>
          <a:ext cx="0" cy="452090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B3F6-22CF-FF4E-83E4-6ED0870675B3}">
  <dimension ref="A1:O50"/>
  <sheetViews>
    <sheetView showGridLines="0" tabSelected="1" zoomScale="97" zoomScaleNormal="97" workbookViewId="0">
      <selection activeCell="A29" sqref="A29"/>
    </sheetView>
  </sheetViews>
  <sheetFormatPr baseColWidth="10" defaultRowHeight="15" x14ac:dyDescent="0.2"/>
  <cols>
    <col min="1" max="1" width="17.5" style="32" customWidth="1"/>
    <col min="2" max="2" width="10.83203125" style="4"/>
    <col min="3" max="3" width="9.5" style="11" customWidth="1"/>
    <col min="4" max="4" width="1.83203125" style="12" customWidth="1"/>
    <col min="5" max="5" width="9.5" style="13" customWidth="1"/>
    <col min="6" max="6" width="9.5" style="11" customWidth="1"/>
    <col min="7" max="7" width="1.83203125" style="12" customWidth="1"/>
    <col min="8" max="8" width="9.5" style="13" customWidth="1"/>
    <col min="9" max="9" width="9.5" style="11" customWidth="1"/>
    <col min="10" max="10" width="1.83203125" style="12" customWidth="1"/>
    <col min="11" max="11" width="9.5" style="13" customWidth="1"/>
    <col min="12" max="12" width="10.83203125" style="10" customWidth="1"/>
    <col min="13" max="16384" width="10.83203125" style="4"/>
  </cols>
  <sheetData>
    <row r="1" spans="1:15" x14ac:dyDescent="0.2">
      <c r="A1" s="26"/>
      <c r="B1" s="1"/>
      <c r="C1" s="3" t="s">
        <v>13</v>
      </c>
      <c r="D1" s="3"/>
      <c r="E1" s="3"/>
      <c r="F1" s="3"/>
      <c r="G1" s="3"/>
      <c r="H1" s="3"/>
      <c r="I1" s="3"/>
      <c r="J1" s="3"/>
      <c r="K1" s="3"/>
      <c r="L1" s="2"/>
    </row>
    <row r="2" spans="1:15" s="9" customFormat="1" ht="33" customHeight="1" x14ac:dyDescent="0.2">
      <c r="A2" s="27" t="s">
        <v>0</v>
      </c>
      <c r="B2" s="5" t="s">
        <v>12</v>
      </c>
      <c r="C2" s="7" t="s">
        <v>11</v>
      </c>
      <c r="D2" s="7"/>
      <c r="E2" s="7"/>
      <c r="F2" s="7" t="s">
        <v>14</v>
      </c>
      <c r="G2" s="7"/>
      <c r="H2" s="7"/>
      <c r="I2" s="8" t="s">
        <v>15</v>
      </c>
      <c r="J2" s="8"/>
      <c r="K2" s="8"/>
      <c r="L2" s="6" t="s">
        <v>16</v>
      </c>
    </row>
    <row r="3" spans="1:15" s="14" customFormat="1" ht="17" customHeight="1" x14ac:dyDescent="0.2">
      <c r="A3" s="28" t="s">
        <v>3</v>
      </c>
      <c r="B3" s="14" t="s">
        <v>1</v>
      </c>
      <c r="C3" s="15">
        <v>38375</v>
      </c>
      <c r="D3" s="16" t="s">
        <v>4</v>
      </c>
      <c r="E3" s="17">
        <v>41321</v>
      </c>
      <c r="F3" s="15">
        <v>38907</v>
      </c>
      <c r="G3" s="16" t="s">
        <v>4</v>
      </c>
      <c r="H3" s="17">
        <v>40591</v>
      </c>
      <c r="I3" s="15">
        <v>38152</v>
      </c>
      <c r="J3" s="16" t="s">
        <v>4</v>
      </c>
      <c r="K3" s="17">
        <v>41874</v>
      </c>
      <c r="L3" s="22">
        <f>MAX(C3,E3,F3,H3,I3,K3,C4,E4,F4,H4,I4,K4)/MIN(C3,E3,F3,H3,I3,K3,C4,E4,F4,H4,I4,K4)</f>
        <v>1.7982805619626756</v>
      </c>
    </row>
    <row r="4" spans="1:15" s="14" customFormat="1" ht="17" customHeight="1" x14ac:dyDescent="0.2">
      <c r="A4" s="29"/>
      <c r="B4" s="14" t="s">
        <v>2</v>
      </c>
      <c r="C4" s="15">
        <v>62790</v>
      </c>
      <c r="D4" s="16" t="s">
        <v>4</v>
      </c>
      <c r="E4" s="17">
        <v>67822</v>
      </c>
      <c r="F4" s="15">
        <v>63972</v>
      </c>
      <c r="G4" s="16" t="s">
        <v>4</v>
      </c>
      <c r="H4" s="17">
        <v>66494</v>
      </c>
      <c r="I4" s="15">
        <v>62510</v>
      </c>
      <c r="J4" s="16" t="s">
        <v>4</v>
      </c>
      <c r="K4" s="17">
        <v>68608</v>
      </c>
      <c r="L4" s="23"/>
    </row>
    <row r="5" spans="1:15" s="18" customFormat="1" ht="17" customHeight="1" x14ac:dyDescent="0.2">
      <c r="A5" s="30" t="s">
        <v>5</v>
      </c>
      <c r="B5" s="18" t="s">
        <v>1</v>
      </c>
      <c r="C5" s="19">
        <v>28371</v>
      </c>
      <c r="D5" s="20" t="s">
        <v>4</v>
      </c>
      <c r="E5" s="21">
        <v>29177</v>
      </c>
      <c r="F5" s="19">
        <v>28187</v>
      </c>
      <c r="G5" s="20" t="s">
        <v>4</v>
      </c>
      <c r="H5" s="21">
        <v>29870</v>
      </c>
      <c r="I5" s="19">
        <v>27945</v>
      </c>
      <c r="J5" s="20" t="s">
        <v>4</v>
      </c>
      <c r="K5" s="21">
        <v>29927</v>
      </c>
      <c r="L5" s="24">
        <f>MAX(C5,E5,F5,H5,I5,K5,C6,E6,F6,H6,I6,K6)/MIN(C5,E5,F5,H5,I5,K5,C6,E6,F6,H6,I6,K6)</f>
        <v>1.7193773483628556</v>
      </c>
      <c r="O5" s="14"/>
    </row>
    <row r="6" spans="1:15" s="18" customFormat="1" ht="17" customHeight="1" x14ac:dyDescent="0.2">
      <c r="A6" s="31"/>
      <c r="B6" s="18" t="s">
        <v>2</v>
      </c>
      <c r="C6" s="19">
        <v>45457</v>
      </c>
      <c r="D6" s="20" t="s">
        <v>4</v>
      </c>
      <c r="E6" s="21">
        <v>46572</v>
      </c>
      <c r="F6" s="19">
        <v>45525</v>
      </c>
      <c r="G6" s="20" t="s">
        <v>4</v>
      </c>
      <c r="H6" s="21">
        <v>48048</v>
      </c>
      <c r="I6" s="19">
        <v>44794</v>
      </c>
      <c r="J6" s="20" t="s">
        <v>4</v>
      </c>
      <c r="K6" s="21">
        <v>47807</v>
      </c>
      <c r="L6" s="25"/>
      <c r="O6" s="14"/>
    </row>
    <row r="7" spans="1:15" s="14" customFormat="1" ht="17" customHeight="1" x14ac:dyDescent="0.2">
      <c r="A7" s="28" t="s">
        <v>6</v>
      </c>
      <c r="B7" s="14" t="s">
        <v>1</v>
      </c>
      <c r="C7" s="15">
        <v>1072</v>
      </c>
      <c r="D7" s="16" t="s">
        <v>4</v>
      </c>
      <c r="E7" s="17">
        <v>1092</v>
      </c>
      <c r="F7" s="15">
        <v>1066</v>
      </c>
      <c r="G7" s="16" t="s">
        <v>4</v>
      </c>
      <c r="H7" s="17">
        <v>1151</v>
      </c>
      <c r="I7" s="15">
        <v>1065</v>
      </c>
      <c r="J7" s="16" t="s">
        <v>4</v>
      </c>
      <c r="K7" s="17">
        <v>1152</v>
      </c>
      <c r="L7" s="22">
        <f>MAX(C7,E7,F7,H7,I7,K7,C8,E8,F8,H8,I8,K8)/MIN(C7,E7,F7,H7,I7,K7,C8,E8,F8,H8,I8,K8)</f>
        <v>1.1840375586854459</v>
      </c>
    </row>
    <row r="8" spans="1:15" s="14" customFormat="1" ht="17" customHeight="1" x14ac:dyDescent="0.2">
      <c r="A8" s="29"/>
      <c r="B8" s="14" t="s">
        <v>2</v>
      </c>
      <c r="C8" s="15">
        <v>1179</v>
      </c>
      <c r="D8" s="16" t="s">
        <v>4</v>
      </c>
      <c r="E8" s="17">
        <v>1188</v>
      </c>
      <c r="F8" s="15">
        <v>1166</v>
      </c>
      <c r="G8" s="16" t="s">
        <v>4</v>
      </c>
      <c r="H8" s="17">
        <v>1261</v>
      </c>
      <c r="I8" s="15">
        <v>1166</v>
      </c>
      <c r="J8" s="16" t="s">
        <v>4</v>
      </c>
      <c r="K8" s="17">
        <v>1258</v>
      </c>
      <c r="L8" s="23"/>
    </row>
    <row r="9" spans="1:15" s="18" customFormat="1" ht="17" customHeight="1" x14ac:dyDescent="0.2">
      <c r="A9" s="30" t="s">
        <v>7</v>
      </c>
      <c r="B9" s="18" t="s">
        <v>1</v>
      </c>
      <c r="C9" s="19">
        <v>90</v>
      </c>
      <c r="D9" s="20" t="s">
        <v>4</v>
      </c>
      <c r="E9" s="21">
        <v>91</v>
      </c>
      <c r="F9" s="19">
        <v>78</v>
      </c>
      <c r="G9" s="20" t="s">
        <v>4</v>
      </c>
      <c r="H9" s="21">
        <v>106</v>
      </c>
      <c r="I9" s="19">
        <v>79</v>
      </c>
      <c r="J9" s="20" t="s">
        <v>4</v>
      </c>
      <c r="K9" s="21">
        <v>106</v>
      </c>
      <c r="L9" s="24">
        <f>MAX(C9,E9,F9,H9,I9,K9,C10,E10,F10,H10,I10,K10)/MIN(C9,E9,F9,H9,I9,K9,C10,E10,F10,H10,I10,K10)</f>
        <v>1.358974358974359</v>
      </c>
      <c r="O9" s="14"/>
    </row>
    <row r="10" spans="1:15" s="18" customFormat="1" ht="17" customHeight="1" x14ac:dyDescent="0.2">
      <c r="A10" s="31"/>
      <c r="B10" s="18" t="s">
        <v>2</v>
      </c>
      <c r="C10" s="19">
        <v>90</v>
      </c>
      <c r="D10" s="20" t="s">
        <v>4</v>
      </c>
      <c r="E10" s="21">
        <v>91</v>
      </c>
      <c r="F10" s="19">
        <v>79</v>
      </c>
      <c r="G10" s="20" t="s">
        <v>4</v>
      </c>
      <c r="H10" s="21">
        <v>106</v>
      </c>
      <c r="I10" s="19">
        <v>78</v>
      </c>
      <c r="J10" s="20" t="s">
        <v>4</v>
      </c>
      <c r="K10" s="21">
        <v>106</v>
      </c>
      <c r="L10" s="25"/>
      <c r="O10" s="14"/>
    </row>
    <row r="11" spans="1:15" s="14" customFormat="1" ht="17" customHeight="1" x14ac:dyDescent="0.2">
      <c r="A11" s="28" t="s">
        <v>8</v>
      </c>
      <c r="B11" s="14" t="s">
        <v>1</v>
      </c>
      <c r="C11" s="15">
        <v>55</v>
      </c>
      <c r="D11" s="16" t="s">
        <v>4</v>
      </c>
      <c r="E11" s="17">
        <v>56</v>
      </c>
      <c r="F11" s="15">
        <v>48</v>
      </c>
      <c r="G11" s="16" t="s">
        <v>4</v>
      </c>
      <c r="H11" s="17">
        <v>66</v>
      </c>
      <c r="I11" s="15">
        <v>49</v>
      </c>
      <c r="J11" s="16" t="s">
        <v>4</v>
      </c>
      <c r="K11" s="17">
        <v>66</v>
      </c>
      <c r="L11" s="22">
        <f>MAX(C11,E11,F11,H11,I11,K11,C12,E12,F12,H12,I12,K12)/MIN(C11,E11,F11,H11,I11,K11,C12,E12,F12,H12,I12,K12)</f>
        <v>1.3958333333333333</v>
      </c>
    </row>
    <row r="12" spans="1:15" s="14" customFormat="1" ht="17" customHeight="1" x14ac:dyDescent="0.2">
      <c r="A12" s="29"/>
      <c r="B12" s="14" t="s">
        <v>2</v>
      </c>
      <c r="C12" s="15">
        <v>56</v>
      </c>
      <c r="D12" s="16" t="s">
        <v>4</v>
      </c>
      <c r="E12" s="17">
        <v>57</v>
      </c>
      <c r="F12" s="15">
        <v>50</v>
      </c>
      <c r="G12" s="16" t="s">
        <v>4</v>
      </c>
      <c r="H12" s="17">
        <v>67</v>
      </c>
      <c r="I12" s="15">
        <v>50</v>
      </c>
      <c r="J12" s="16" t="s">
        <v>4</v>
      </c>
      <c r="K12" s="17">
        <v>67</v>
      </c>
      <c r="L12" s="23"/>
    </row>
    <row r="13" spans="1:15" s="18" customFormat="1" ht="17" customHeight="1" x14ac:dyDescent="0.2">
      <c r="A13" s="30" t="s">
        <v>9</v>
      </c>
      <c r="B13" s="18" t="s">
        <v>1</v>
      </c>
      <c r="C13" s="19">
        <v>12548</v>
      </c>
      <c r="D13" s="20" t="s">
        <v>4</v>
      </c>
      <c r="E13" s="21">
        <v>12986</v>
      </c>
      <c r="F13" s="19">
        <v>12205</v>
      </c>
      <c r="G13" s="20" t="s">
        <v>4</v>
      </c>
      <c r="H13" s="21">
        <v>13416</v>
      </c>
      <c r="I13" s="19">
        <v>12183</v>
      </c>
      <c r="J13" s="20" t="s">
        <v>4</v>
      </c>
      <c r="K13" s="21">
        <v>13604</v>
      </c>
      <c r="L13" s="24">
        <f>MAX(C13,E13,F13,H13,I13,K13,C14,E14,F14,H14,I14,K14)/MIN(C13,E13,F13,H13,I13,K13,C14,E14,F14,H14,I14,K14)</f>
        <v>1.8455224493146187</v>
      </c>
      <c r="O13" s="14"/>
    </row>
    <row r="14" spans="1:15" s="18" customFormat="1" ht="17" customHeight="1" x14ac:dyDescent="0.2">
      <c r="A14" s="31"/>
      <c r="B14" s="18" t="s">
        <v>2</v>
      </c>
      <c r="C14" s="19">
        <v>20901</v>
      </c>
      <c r="D14" s="20" t="s">
        <v>4</v>
      </c>
      <c r="E14" s="21">
        <v>21435</v>
      </c>
      <c r="F14" s="19">
        <v>20431</v>
      </c>
      <c r="G14" s="20" t="s">
        <v>4</v>
      </c>
      <c r="H14" s="21">
        <v>22413</v>
      </c>
      <c r="I14" s="19">
        <v>20211</v>
      </c>
      <c r="J14" s="20" t="s">
        <v>4</v>
      </c>
      <c r="K14" s="21">
        <v>22484</v>
      </c>
      <c r="L14" s="25"/>
      <c r="O14" s="14"/>
    </row>
    <row r="15" spans="1:15" s="14" customFormat="1" ht="17" customHeight="1" x14ac:dyDescent="0.2">
      <c r="A15" s="28" t="s">
        <v>17</v>
      </c>
      <c r="B15" s="14" t="s">
        <v>1</v>
      </c>
      <c r="C15" s="15">
        <v>2642</v>
      </c>
      <c r="D15" s="16" t="s">
        <v>4</v>
      </c>
      <c r="E15" s="17">
        <v>2738</v>
      </c>
      <c r="F15" s="15">
        <v>2456</v>
      </c>
      <c r="G15" s="16" t="s">
        <v>4</v>
      </c>
      <c r="H15" s="17">
        <v>2997</v>
      </c>
      <c r="I15" s="15">
        <v>2452</v>
      </c>
      <c r="J15" s="16" t="s">
        <v>4</v>
      </c>
      <c r="K15" s="17">
        <v>3020</v>
      </c>
      <c r="L15" s="22">
        <f>MAX(C15,E15,F15,H15,I15,K15,C16,E16,F16,H16,I16,K16)/MIN(C15,E15,F15,H15,I15,K15,C16,E16,F16,H16,I16,K16)</f>
        <v>1.6003262642740619</v>
      </c>
    </row>
    <row r="16" spans="1:15" s="14" customFormat="1" ht="17" customHeight="1" x14ac:dyDescent="0.2">
      <c r="A16" s="29"/>
      <c r="B16" s="14" t="s">
        <v>2</v>
      </c>
      <c r="C16" s="15">
        <v>3446</v>
      </c>
      <c r="D16" s="16" t="s">
        <v>4</v>
      </c>
      <c r="E16" s="17">
        <v>3587</v>
      </c>
      <c r="F16" s="15">
        <v>3252</v>
      </c>
      <c r="G16" s="16" t="s">
        <v>4</v>
      </c>
      <c r="H16" s="17">
        <v>3920</v>
      </c>
      <c r="I16" s="15">
        <v>3222</v>
      </c>
      <c r="J16" s="16" t="s">
        <v>4</v>
      </c>
      <c r="K16" s="17">
        <v>3924</v>
      </c>
      <c r="L16" s="23"/>
    </row>
    <row r="17" spans="1:15" s="18" customFormat="1" ht="17" customHeight="1" x14ac:dyDescent="0.2">
      <c r="A17" s="30" t="s">
        <v>10</v>
      </c>
      <c r="B17" s="18" t="s">
        <v>1</v>
      </c>
      <c r="C17" s="19">
        <v>136</v>
      </c>
      <c r="D17" s="20" t="s">
        <v>4</v>
      </c>
      <c r="E17" s="21">
        <v>142</v>
      </c>
      <c r="F17" s="19">
        <v>138</v>
      </c>
      <c r="G17" s="20" t="s">
        <v>4</v>
      </c>
      <c r="H17" s="21">
        <v>142</v>
      </c>
      <c r="I17" s="19">
        <v>137</v>
      </c>
      <c r="J17" s="20" t="s">
        <v>4</v>
      </c>
      <c r="K17" s="21">
        <v>145</v>
      </c>
      <c r="L17" s="24">
        <f>MAX(C17,E17,F17,H17,I17,K17,C18,E18,F18,H18,I18,K18)/MIN(C17,E17,F17,H17,I17,K17,C18,E18,F18,H18,I18,K18)</f>
        <v>1.0661764705882353</v>
      </c>
      <c r="O17" s="14"/>
    </row>
    <row r="18" spans="1:15" s="18" customFormat="1" ht="17" customHeight="1" x14ac:dyDescent="0.2">
      <c r="A18" s="31"/>
      <c r="B18" s="18" t="s">
        <v>2</v>
      </c>
      <c r="C18" s="19">
        <v>136</v>
      </c>
      <c r="D18" s="20" t="s">
        <v>4</v>
      </c>
      <c r="E18" s="21">
        <v>144</v>
      </c>
      <c r="F18" s="19">
        <v>140</v>
      </c>
      <c r="G18" s="20" t="s">
        <v>4</v>
      </c>
      <c r="H18" s="21">
        <v>143</v>
      </c>
      <c r="I18" s="19">
        <v>137</v>
      </c>
      <c r="J18" s="20" t="s">
        <v>4</v>
      </c>
      <c r="K18" s="21">
        <v>145</v>
      </c>
      <c r="L18" s="25"/>
      <c r="O18" s="14"/>
    </row>
    <row r="19" spans="1:15" s="14" customFormat="1" ht="17" customHeight="1" x14ac:dyDescent="0.2">
      <c r="A19" s="28" t="s">
        <v>18</v>
      </c>
      <c r="B19" s="14" t="s">
        <v>1</v>
      </c>
      <c r="C19" s="15">
        <v>3494</v>
      </c>
      <c r="D19" s="16" t="s">
        <v>4</v>
      </c>
      <c r="E19" s="17">
        <v>3865</v>
      </c>
      <c r="F19" s="15">
        <v>3468</v>
      </c>
      <c r="G19" s="16" t="s">
        <v>4</v>
      </c>
      <c r="H19" s="17">
        <v>3783</v>
      </c>
      <c r="I19" s="15">
        <v>3396</v>
      </c>
      <c r="J19" s="16" t="s">
        <v>4</v>
      </c>
      <c r="K19" s="17">
        <v>3955</v>
      </c>
      <c r="L19" s="22">
        <f>MAX(C19,E19,F19,H19,I19,K19,C20,E20,F20,H20,I20,K20)/MIN(C19,E19,F19,H19,I19,K19,C20,E20,F20,H20,I20,K20)</f>
        <v>1.9808598351001179</v>
      </c>
    </row>
    <row r="20" spans="1:15" s="14" customFormat="1" ht="17" customHeight="1" x14ac:dyDescent="0.2">
      <c r="A20" s="29"/>
      <c r="B20" s="14" t="s">
        <v>2</v>
      </c>
      <c r="C20" s="15">
        <v>5977</v>
      </c>
      <c r="D20" s="16" t="s">
        <v>4</v>
      </c>
      <c r="E20" s="17">
        <v>6567</v>
      </c>
      <c r="F20" s="15">
        <v>6211</v>
      </c>
      <c r="G20" s="16" t="s">
        <v>4</v>
      </c>
      <c r="H20" s="17">
        <v>6697</v>
      </c>
      <c r="I20" s="15">
        <v>5885</v>
      </c>
      <c r="J20" s="16" t="s">
        <v>4</v>
      </c>
      <c r="K20" s="17">
        <v>6727</v>
      </c>
      <c r="L20" s="23"/>
    </row>
    <row r="21" spans="1:15" s="18" customFormat="1" ht="17" customHeight="1" x14ac:dyDescent="0.2">
      <c r="A21" s="30" t="s">
        <v>19</v>
      </c>
      <c r="B21" s="18" t="s">
        <v>1</v>
      </c>
      <c r="C21" s="19">
        <v>1893</v>
      </c>
      <c r="D21" s="20" t="s">
        <v>4</v>
      </c>
      <c r="E21" s="21">
        <v>2114</v>
      </c>
      <c r="F21" s="19">
        <v>2080</v>
      </c>
      <c r="G21" s="20" t="s">
        <v>4</v>
      </c>
      <c r="H21" s="21">
        <v>2082</v>
      </c>
      <c r="I21" s="19">
        <v>1893</v>
      </c>
      <c r="J21" s="20" t="s">
        <v>4</v>
      </c>
      <c r="K21" s="21">
        <v>2115</v>
      </c>
      <c r="L21" s="24">
        <f>MAX(C21,E21,F21,H21,I21,K21,C22,E22,F22,H22,I22,K22)/MIN(C21,E21,F21,H21,I21,K21,C22,E22,F22,H22,I22,K22)</f>
        <v>1.8505018489170628</v>
      </c>
      <c r="O21" s="14"/>
    </row>
    <row r="22" spans="1:15" s="18" customFormat="1" ht="17" customHeight="1" x14ac:dyDescent="0.2">
      <c r="A22" s="31"/>
      <c r="B22" s="18" t="s">
        <v>2</v>
      </c>
      <c r="C22" s="19">
        <v>3207</v>
      </c>
      <c r="D22" s="20" t="s">
        <v>4</v>
      </c>
      <c r="E22" s="21">
        <v>3501</v>
      </c>
      <c r="F22" s="19">
        <v>3427</v>
      </c>
      <c r="G22" s="20" t="s">
        <v>4</v>
      </c>
      <c r="H22" s="21">
        <v>3431</v>
      </c>
      <c r="I22" s="19">
        <v>3206</v>
      </c>
      <c r="J22" s="20" t="s">
        <v>4</v>
      </c>
      <c r="K22" s="21">
        <v>3503</v>
      </c>
      <c r="L22" s="25"/>
      <c r="O22" s="14"/>
    </row>
    <row r="23" spans="1:15" s="14" customFormat="1" ht="17" customHeight="1" x14ac:dyDescent="0.2">
      <c r="A23" s="28" t="s">
        <v>20</v>
      </c>
      <c r="B23" s="14" t="s">
        <v>1</v>
      </c>
      <c r="C23" s="15">
        <v>421</v>
      </c>
      <c r="D23" s="16" t="s">
        <v>4</v>
      </c>
      <c r="E23" s="17">
        <v>488</v>
      </c>
      <c r="F23" s="15">
        <v>459</v>
      </c>
      <c r="G23" s="16" t="s">
        <v>4</v>
      </c>
      <c r="H23" s="17">
        <v>459</v>
      </c>
      <c r="I23" s="15">
        <v>421</v>
      </c>
      <c r="J23" s="16" t="s">
        <v>4</v>
      </c>
      <c r="K23" s="17">
        <v>488</v>
      </c>
      <c r="L23" s="22">
        <f>MAX(C23,E23,F23,H23,I23,K23,C24,E24,F24,H24,I24,K24)/MIN(C23,E23,F23,H23,I23,K23,C24,E24,F24,H24,I24,K24)</f>
        <v>1.7957244655581948</v>
      </c>
    </row>
    <row r="24" spans="1:15" s="14" customFormat="1" ht="17" customHeight="1" x14ac:dyDescent="0.2">
      <c r="A24" s="29"/>
      <c r="B24" s="14" t="s">
        <v>2</v>
      </c>
      <c r="C24" s="15">
        <v>715</v>
      </c>
      <c r="D24" s="16" t="s">
        <v>4</v>
      </c>
      <c r="E24" s="17">
        <v>756</v>
      </c>
      <c r="F24" s="15">
        <v>739</v>
      </c>
      <c r="G24" s="16" t="s">
        <v>4</v>
      </c>
      <c r="H24" s="17">
        <v>739</v>
      </c>
      <c r="I24" s="15">
        <v>712</v>
      </c>
      <c r="J24" s="16" t="s">
        <v>4</v>
      </c>
      <c r="K24" s="17">
        <v>756</v>
      </c>
      <c r="L24" s="23"/>
    </row>
    <row r="25" spans="1:15" s="18" customFormat="1" ht="17" customHeight="1" x14ac:dyDescent="0.2">
      <c r="A25" s="30" t="s">
        <v>21</v>
      </c>
      <c r="B25" s="18" t="s">
        <v>1</v>
      </c>
      <c r="C25" s="19">
        <v>9297</v>
      </c>
      <c r="D25" s="20" t="s">
        <v>4</v>
      </c>
      <c r="E25" s="21">
        <v>11973</v>
      </c>
      <c r="F25" s="19">
        <v>10259</v>
      </c>
      <c r="G25" s="20" t="s">
        <v>4</v>
      </c>
      <c r="H25" s="21">
        <v>10259</v>
      </c>
      <c r="I25" s="19">
        <v>9295</v>
      </c>
      <c r="J25" s="20" t="s">
        <v>4</v>
      </c>
      <c r="K25" s="21">
        <v>11979</v>
      </c>
      <c r="L25" s="24">
        <f>MAX(C25,E25,F25,H25,I25,K25,C26,E26,F26,H26,I26,K26)/MIN(C25,E25,F25,H25,I25,K25,C26,E26,F26,H26,I26,K26)</f>
        <v>2.2589564281871972</v>
      </c>
      <c r="O25" s="14"/>
    </row>
    <row r="26" spans="1:15" s="18" customFormat="1" ht="17" customHeight="1" x14ac:dyDescent="0.2">
      <c r="A26" s="31"/>
      <c r="B26" s="18" t="s">
        <v>2</v>
      </c>
      <c r="C26" s="19">
        <v>16316</v>
      </c>
      <c r="D26" s="20" t="s">
        <v>4</v>
      </c>
      <c r="E26" s="21">
        <v>20992</v>
      </c>
      <c r="F26" s="19">
        <v>17705</v>
      </c>
      <c r="G26" s="20" t="s">
        <v>4</v>
      </c>
      <c r="H26" s="21">
        <v>17705</v>
      </c>
      <c r="I26" s="19">
        <v>16264</v>
      </c>
      <c r="J26" s="20" t="s">
        <v>4</v>
      </c>
      <c r="K26" s="21">
        <v>20997</v>
      </c>
      <c r="L26" s="25"/>
      <c r="O26" s="14"/>
    </row>
    <row r="45" spans="5:5" x14ac:dyDescent="0.2">
      <c r="E45" s="33"/>
    </row>
    <row r="46" spans="5:5" x14ac:dyDescent="0.2">
      <c r="E46" s="33"/>
    </row>
    <row r="49" spans="5:5" x14ac:dyDescent="0.2">
      <c r="E49" s="33"/>
    </row>
    <row r="50" spans="5:5" x14ac:dyDescent="0.2">
      <c r="E50" s="33"/>
    </row>
  </sheetData>
  <mergeCells count="28">
    <mergeCell ref="L15:L16"/>
    <mergeCell ref="L13:L14"/>
    <mergeCell ref="L11:L12"/>
    <mergeCell ref="L9:L10"/>
    <mergeCell ref="L7:L8"/>
    <mergeCell ref="L5:L6"/>
    <mergeCell ref="A13:A14"/>
    <mergeCell ref="A11:A12"/>
    <mergeCell ref="A9:A10"/>
    <mergeCell ref="A7:A8"/>
    <mergeCell ref="A5:A6"/>
    <mergeCell ref="L25:L26"/>
    <mergeCell ref="L23:L24"/>
    <mergeCell ref="L21:L22"/>
    <mergeCell ref="L19:L20"/>
    <mergeCell ref="L17:L18"/>
    <mergeCell ref="A25:A26"/>
    <mergeCell ref="A23:A24"/>
    <mergeCell ref="A21:A22"/>
    <mergeCell ref="A19:A20"/>
    <mergeCell ref="A17:A18"/>
    <mergeCell ref="A15:A16"/>
    <mergeCell ref="C1:K1"/>
    <mergeCell ref="C2:E2"/>
    <mergeCell ref="F2:H2"/>
    <mergeCell ref="I2:K2"/>
    <mergeCell ref="L3:L4"/>
    <mergeCell ref="A3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Duke, Jonathan</dc:creator>
  <cp:lastModifiedBy>Duke, Jonathan</cp:lastModifiedBy>
  <dcterms:created xsi:type="dcterms:W3CDTF">2026-08-26T15:37:44Z</dcterms:created>
  <dcterms:modified xsi:type="dcterms:W3CDTF">2026-08-27T15:41:00Z</dcterms:modified>
</cp:coreProperties>
</file>